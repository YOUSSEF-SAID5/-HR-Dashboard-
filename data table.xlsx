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20102\OneDrive\Downloads\"/>
    </mc:Choice>
  </mc:AlternateContent>
  <xr:revisionPtr revIDLastSave="0" documentId="8_{76588694-223E-4FB2-9176-64F19FD4A898}" xr6:coauthVersionLast="47" xr6:coauthVersionMax="47" xr10:uidLastSave="{00000000-0000-0000-0000-000000000000}"/>
  <bookViews>
    <workbookView xWindow="-108" yWindow="-108" windowWidth="23256" windowHeight="12456" activeTab="1" xr2:uid="{408BA6AB-5196-496B-9C80-B057CC378CDA}"/>
  </bookViews>
  <sheets>
    <sheet name="Data" sheetId="1" r:id="rId1"/>
    <sheet name="Dashbord" sheetId="2" r:id="rId2"/>
    <sheet name="pivot table" sheetId="3" r:id="rId3"/>
  </sheets>
  <definedNames>
    <definedName name="Slicer_Department">#N/A</definedName>
    <definedName name="Slicer_Gender">#N/A</definedName>
  </definedNames>
  <calcPr calcId="191029"/>
  <pivotCaches>
    <pivotCache cacheId="16"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B14" i="3" l="1"/>
  <c r="AB18" i="3"/>
  <c r="AB17" i="3"/>
  <c r="AB16" i="3"/>
  <c r="AB15" i="3"/>
  <c r="R16" i="3"/>
  <c r="R15" i="3"/>
  <c r="R14" i="3"/>
  <c r="R13" i="3"/>
  <c r="R12" i="3"/>
  <c r="Y17" i="3"/>
  <c r="Y16" i="3"/>
  <c r="Y15" i="3"/>
  <c r="Y14" i="3"/>
  <c r="Y13" i="3"/>
  <c r="X16" i="3"/>
  <c r="X17" i="3"/>
  <c r="X14" i="3"/>
  <c r="X13" i="3"/>
  <c r="X15" i="3"/>
  <c r="U16" i="3"/>
  <c r="U15" i="3"/>
  <c r="U14" i="3"/>
  <c r="U13" i="3"/>
  <c r="U12" i="3"/>
  <c r="N13" i="3"/>
  <c r="N12" i="3"/>
  <c r="N11" i="3"/>
  <c r="I20" i="3"/>
  <c r="I19" i="3"/>
  <c r="I16" i="3"/>
  <c r="I15" i="3"/>
  <c r="I14" i="3"/>
  <c r="I13" i="3"/>
  <c r="I12" i="3"/>
  <c r="F15" i="3"/>
  <c r="F14" i="3"/>
  <c r="F13" i="3"/>
  <c r="F12" i="3"/>
  <c r="F11" i="3"/>
  <c r="C12" i="3"/>
  <c r="C11" i="3"/>
  <c r="C10" i="3"/>
  <c r="C13" i="3" l="1"/>
  <c r="F16" i="3"/>
  <c r="I17" i="3"/>
  <c r="J19" i="3"/>
  <c r="K19" i="3" s="1"/>
  <c r="J20" i="3"/>
  <c r="K20" i="3" s="1"/>
  <c r="N14" i="3"/>
  <c r="O11" i="3"/>
  <c r="P11" i="3" s="1"/>
  <c r="O12" i="3"/>
  <c r="P12" i="3" s="1"/>
  <c r="O13" i="3"/>
  <c r="P13" i="3" s="1"/>
  <c r="AB19" i="3"/>
  <c r="U17" i="3"/>
  <c r="Y18" i="3"/>
  <c r="X18" i="3"/>
</calcChain>
</file>

<file path=xl/sharedStrings.xml><?xml version="1.0" encoding="utf-8"?>
<sst xmlns="http://schemas.openxmlformats.org/spreadsheetml/2006/main" count="889" uniqueCount="233">
  <si>
    <t>Employee ID</t>
  </si>
  <si>
    <t>Full Name</t>
  </si>
  <si>
    <t>Gender</t>
  </si>
  <si>
    <t>Age</t>
  </si>
  <si>
    <t>Age range</t>
  </si>
  <si>
    <t>Region</t>
  </si>
  <si>
    <t>Job Title</t>
  </si>
  <si>
    <t>Department</t>
  </si>
  <si>
    <t>Manager/Supervisor</t>
  </si>
  <si>
    <t>Date of Hire</t>
  </si>
  <si>
    <t>Employment Status</t>
  </si>
  <si>
    <t>Work Location</t>
  </si>
  <si>
    <t>Salary</t>
  </si>
  <si>
    <t>Pay Grade</t>
  </si>
  <si>
    <t>Bonus/Allowances</t>
  </si>
  <si>
    <t>Insurance Details</t>
  </si>
  <si>
    <t>Leave Taken</t>
  </si>
  <si>
    <t>Performance Rating</t>
  </si>
  <si>
    <t>Training Programs Attended</t>
  </si>
  <si>
    <t>Skills</t>
  </si>
  <si>
    <t>Certifications</t>
  </si>
  <si>
    <t>Lori Nguyen</t>
  </si>
  <si>
    <t>Female</t>
  </si>
  <si>
    <t>18-25</t>
  </si>
  <si>
    <t>East</t>
  </si>
  <si>
    <t>Manager</t>
  </si>
  <si>
    <t>Finance</t>
  </si>
  <si>
    <t>Luis Reynolds</t>
  </si>
  <si>
    <t>2019-03-15</t>
  </si>
  <si>
    <t>Full-Time</t>
  </si>
  <si>
    <t>Head Office</t>
  </si>
  <si>
    <t>C</t>
  </si>
  <si>
    <t>Health</t>
  </si>
  <si>
    <t>Leadership Training</t>
  </si>
  <si>
    <t>Design</t>
  </si>
  <si>
    <t>Certified Professional</t>
  </si>
  <si>
    <t>Gary Garcia</t>
  </si>
  <si>
    <t>Male</t>
  </si>
  <si>
    <t>26-35</t>
  </si>
  <si>
    <t>Central</t>
  </si>
  <si>
    <t>Designer</t>
  </si>
  <si>
    <t>HR</t>
  </si>
  <si>
    <t>Ashley Simmons MD</t>
  </si>
  <si>
    <t>2022-12-20</t>
  </si>
  <si>
    <t>Branch Office</t>
  </si>
  <si>
    <t>B</t>
  </si>
  <si>
    <t>None</t>
  </si>
  <si>
    <t>Excel Workshop</t>
  </si>
  <si>
    <t>Jeremy Nguyen</t>
  </si>
  <si>
    <t>West</t>
  </si>
  <si>
    <t>HR Specialist</t>
  </si>
  <si>
    <t>Marketing</t>
  </si>
  <si>
    <t>Cassandra Duncan</t>
  </si>
  <si>
    <t>2022-08-10</t>
  </si>
  <si>
    <t>Remote</t>
  </si>
  <si>
    <t>D</t>
  </si>
  <si>
    <t>Management</t>
  </si>
  <si>
    <t>Advanced Training</t>
  </si>
  <si>
    <t>Kimberly Jones</t>
  </si>
  <si>
    <t>36-45</t>
  </si>
  <si>
    <t>Operations</t>
  </si>
  <si>
    <t>Janet Harris</t>
  </si>
  <si>
    <t>2024-09-03</t>
  </si>
  <si>
    <t>Contract</t>
  </si>
  <si>
    <t>A</t>
  </si>
  <si>
    <t>Health + Dental</t>
  </si>
  <si>
    <t>Python</t>
  </si>
  <si>
    <t>Anthony Gates</t>
  </si>
  <si>
    <t>56 &lt;</t>
  </si>
  <si>
    <t>Mr. Frank Clay</t>
  </si>
  <si>
    <t>2019-03-14</t>
  </si>
  <si>
    <t>Courtney Foster</t>
  </si>
  <si>
    <t>Developer</t>
  </si>
  <si>
    <t>Dorothy Price</t>
  </si>
  <si>
    <t>2017-01-23</t>
  </si>
  <si>
    <t>Communication</t>
  </si>
  <si>
    <t>Catherine Hall</t>
  </si>
  <si>
    <t>Michele Sexton</t>
  </si>
  <si>
    <t>2024-08-17</t>
  </si>
  <si>
    <t>Deanna Ball</t>
  </si>
  <si>
    <t>South</t>
  </si>
  <si>
    <t>IT</t>
  </si>
  <si>
    <t>Richard Schmidt</t>
  </si>
  <si>
    <t>2014-12-09</t>
  </si>
  <si>
    <t>Candace Nelson</t>
  </si>
  <si>
    <t>Teresa Pearson</t>
  </si>
  <si>
    <t>2021-06-28</t>
  </si>
  <si>
    <t>Mandy Davis</t>
  </si>
  <si>
    <t>Laura Hart</t>
  </si>
  <si>
    <t>2018-05-20</t>
  </si>
  <si>
    <t>Matthew Powell</t>
  </si>
  <si>
    <t>Andrea May</t>
  </si>
  <si>
    <t>2017-02-13</t>
  </si>
  <si>
    <t>Bruce Nelson</t>
  </si>
  <si>
    <t>Casey Martin</t>
  </si>
  <si>
    <t>2024-05-05</t>
  </si>
  <si>
    <t>Excel</t>
  </si>
  <si>
    <t>Dawn Cole</t>
  </si>
  <si>
    <t>46-55</t>
  </si>
  <si>
    <t>Amber Allen</t>
  </si>
  <si>
    <t>2022-04-19</t>
  </si>
  <si>
    <t>Tanner Morse</t>
  </si>
  <si>
    <t>North</t>
  </si>
  <si>
    <t>Adam Johnson</t>
  </si>
  <si>
    <t>2015-11-16</t>
  </si>
  <si>
    <t>Jose Griffin</t>
  </si>
  <si>
    <t>Nicole Dominguez</t>
  </si>
  <si>
    <t>2023-09-09</t>
  </si>
  <si>
    <t>Daniel Hawkins</t>
  </si>
  <si>
    <t>Andrew Best</t>
  </si>
  <si>
    <t>2017-12-12</t>
  </si>
  <si>
    <t>Part-Time</t>
  </si>
  <si>
    <t>Elaine Mcclain</t>
  </si>
  <si>
    <t>Gabrielle Rodriguez</t>
  </si>
  <si>
    <t>2017-03-10</t>
  </si>
  <si>
    <t>Allison Harvey</t>
  </si>
  <si>
    <t>2019-03-04</t>
  </si>
  <si>
    <t>Thomas Kramer</t>
  </si>
  <si>
    <t>Tristan Mejia</t>
  </si>
  <si>
    <t>2022-11-20</t>
  </si>
  <si>
    <t>Kevin Whitaker</t>
  </si>
  <si>
    <t>Analyst</t>
  </si>
  <si>
    <t>Mary Welch</t>
  </si>
  <si>
    <t>2021-03-02</t>
  </si>
  <si>
    <t>Dustin Carter</t>
  </si>
  <si>
    <t>Douglas Miles</t>
  </si>
  <si>
    <t>2021-08-01</t>
  </si>
  <si>
    <t>Nicole Williamson</t>
  </si>
  <si>
    <t>Jessica Fleming</t>
  </si>
  <si>
    <t>2015-08-14</t>
  </si>
  <si>
    <t>Matthew Knight</t>
  </si>
  <si>
    <t>Christine Lee</t>
  </si>
  <si>
    <t>2015-10-21</t>
  </si>
  <si>
    <t>Donna Jones</t>
  </si>
  <si>
    <t>Mario Smith DVM</t>
  </si>
  <si>
    <t>2015-03-14</t>
  </si>
  <si>
    <t>Carolyn Bullock</t>
  </si>
  <si>
    <t>Joseph Francis</t>
  </si>
  <si>
    <t>2024-05-22</t>
  </si>
  <si>
    <t>Wendy Gomez</t>
  </si>
  <si>
    <t>Sarah Young</t>
  </si>
  <si>
    <t>2017-03-19</t>
  </si>
  <si>
    <t>Michael Thomas</t>
  </si>
  <si>
    <t>Aaron Hart</t>
  </si>
  <si>
    <t>2021-09-15</t>
  </si>
  <si>
    <t>Kevin Bell</t>
  </si>
  <si>
    <t>Brian Boyd</t>
  </si>
  <si>
    <t>2022-05-09</t>
  </si>
  <si>
    <t>Richard Landry</t>
  </si>
  <si>
    <t>Steven Krueger</t>
  </si>
  <si>
    <t>2017-06-22</t>
  </si>
  <si>
    <t>George Hurley</t>
  </si>
  <si>
    <t>Debra Williams</t>
  </si>
  <si>
    <t>2020-11-28</t>
  </si>
  <si>
    <t>Mark Lopez</t>
  </si>
  <si>
    <t>Karen Mitchell</t>
  </si>
  <si>
    <t>2015-08-30</t>
  </si>
  <si>
    <t>Robert Williams</t>
  </si>
  <si>
    <t>Joseph Sanders</t>
  </si>
  <si>
    <t>2018-10-27</t>
  </si>
  <si>
    <t>Mary Schmidt</t>
  </si>
  <si>
    <t>Shelly George</t>
  </si>
  <si>
    <t>2018-08-26</t>
  </si>
  <si>
    <t>Mary Martinez</t>
  </si>
  <si>
    <t>Nicole Houston</t>
  </si>
  <si>
    <t>2023-07-24</t>
  </si>
  <si>
    <t>Paul Hall</t>
  </si>
  <si>
    <t>Kristin Shaffer</t>
  </si>
  <si>
    <t>2018-07-09</t>
  </si>
  <si>
    <t>Samantha Foster</t>
  </si>
  <si>
    <t>Joel Aguilar</t>
  </si>
  <si>
    <t>2016-12-21</t>
  </si>
  <si>
    <t>Timothy Aguilar</t>
  </si>
  <si>
    <t>Michael Wade</t>
  </si>
  <si>
    <t>2019-06-27</t>
  </si>
  <si>
    <t>Charles Andrews</t>
  </si>
  <si>
    <t>Jessica Walsh</t>
  </si>
  <si>
    <t>2021-08-27</t>
  </si>
  <si>
    <t>Veronica Nelson</t>
  </si>
  <si>
    <t>Kelly Mack</t>
  </si>
  <si>
    <t>2017-05-28</t>
  </si>
  <si>
    <t>Chris Sanchez</t>
  </si>
  <si>
    <t>John Conley</t>
  </si>
  <si>
    <t>2022-01-30</t>
  </si>
  <si>
    <t>Cassie Galvan</t>
  </si>
  <si>
    <t>Aaron Baker</t>
  </si>
  <si>
    <t>2017-04-20</t>
  </si>
  <si>
    <t>Jessica Jones</t>
  </si>
  <si>
    <t>Christopher Bass</t>
  </si>
  <si>
    <t>2019-07-22</t>
  </si>
  <si>
    <t>Emily Walker</t>
  </si>
  <si>
    <t>Sean Tucker PhD</t>
  </si>
  <si>
    <t>2018-11-29</t>
  </si>
  <si>
    <t>Vickie Lewis</t>
  </si>
  <si>
    <t>Jacob Scott</t>
  </si>
  <si>
    <t>2022-11-14</t>
  </si>
  <si>
    <t>Alexis Clark</t>
  </si>
  <si>
    <t>Joel Park</t>
  </si>
  <si>
    <t>2016-02-23</t>
  </si>
  <si>
    <t>Robert Davis</t>
  </si>
  <si>
    <t>Russell Marshall</t>
  </si>
  <si>
    <t>2018-05-18</t>
  </si>
  <si>
    <t>Daniel Brown MD</t>
  </si>
  <si>
    <t>James Holden</t>
  </si>
  <si>
    <t>2024-03-09</t>
  </si>
  <si>
    <t>Anna Payne</t>
  </si>
  <si>
    <t>Thomas Murphy</t>
  </si>
  <si>
    <t>2024-03-27</t>
  </si>
  <si>
    <t>Rhonda Pena</t>
  </si>
  <si>
    <t>Mark Abbott</t>
  </si>
  <si>
    <t>2019-12-23</t>
  </si>
  <si>
    <t>Nicole Gonzalez</t>
  </si>
  <si>
    <t>Robin Lynch</t>
  </si>
  <si>
    <t>2016-08-25</t>
  </si>
  <si>
    <t>Row Labels</t>
  </si>
  <si>
    <t>Grand Total</t>
  </si>
  <si>
    <t>Count of Full Name</t>
  </si>
  <si>
    <t xml:space="preserve"> num of emplyee  stutes</t>
  </si>
  <si>
    <t>Total</t>
  </si>
  <si>
    <t>Sum of Salary</t>
  </si>
  <si>
    <t xml:space="preserve">Total </t>
  </si>
  <si>
    <t>salary to department</t>
  </si>
  <si>
    <t xml:space="preserve"> </t>
  </si>
  <si>
    <t>Column Labels</t>
  </si>
  <si>
    <t xml:space="preserve">total </t>
  </si>
  <si>
    <t xml:space="preserve">male </t>
  </si>
  <si>
    <t>female</t>
  </si>
  <si>
    <t xml:space="preserve">age range to gender </t>
  </si>
  <si>
    <t>TOTAL</t>
  </si>
  <si>
    <t>workPlace</t>
  </si>
  <si>
    <t>total</t>
  </si>
  <si>
    <t>Sum of Leave Taken</t>
  </si>
  <si>
    <t>Average of Performance Rating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</si>
</sst>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74" formatCode="0.0"/>
  </numFmts>
  <fonts count="10">
    <font>
      <sz val="11"/>
      <color theme="1"/>
      <name val="Aptos Narrow"/>
      <family val="2"/>
      <scheme val="minor"/>
    </font>
    <font>
      <b/>
      <sz val="11"/>
      <color theme="0" tint="-4.9989318521683403E-2"/>
      <name val="Kulim Park"/>
    </font>
    <font>
      <sz val="11"/>
      <color theme="1"/>
      <name val="Kulim Park"/>
    </font>
    <font>
      <sz val="11"/>
      <color theme="0" tint="-4.9989318521683403E-2"/>
      <name val="Kulim Park"/>
    </font>
    <font>
      <sz val="11"/>
      <color theme="1"/>
      <name val="Aptos Narrow"/>
      <family val="2"/>
      <scheme val="minor"/>
    </font>
    <font>
      <sz val="11"/>
      <color theme="1"/>
      <name val="Kulim Park"/>
      <charset val="178"/>
    </font>
    <font>
      <b/>
      <sz val="11"/>
      <color theme="1"/>
      <name val="Aptos Narrow"/>
      <family val="2"/>
      <scheme val="minor"/>
    </font>
    <font>
      <sz val="11"/>
      <color rgb="FF282828"/>
      <name val="Kulim Park"/>
      <charset val="178"/>
    </font>
    <font>
      <sz val="11"/>
      <color rgb="FF282828"/>
      <name val="Aptos Narrow"/>
      <family val="2"/>
      <scheme val="minor"/>
    </font>
    <font>
      <sz val="11"/>
      <color rgb="FF008DFF"/>
      <name val="Kulim Park"/>
      <charset val="178"/>
    </font>
  </fonts>
  <fills count="4">
    <fill>
      <patternFill patternType="none"/>
    </fill>
    <fill>
      <patternFill patternType="gray125"/>
    </fill>
    <fill>
      <patternFill patternType="solid">
        <fgColor rgb="FF282828"/>
        <bgColor indexed="64"/>
      </patternFill>
    </fill>
    <fill>
      <patternFill patternType="solid">
        <fgColor theme="3" tint="0.499984740745262"/>
        <bgColor indexed="64"/>
      </patternFill>
    </fill>
  </fills>
  <borders count="2">
    <border>
      <left/>
      <right/>
      <top/>
      <bottom/>
      <diagonal/>
    </border>
    <border>
      <left/>
      <right/>
      <top style="thin">
        <color theme="1" tint="0.499984740745262"/>
      </top>
      <bottom style="thin">
        <color theme="1" tint="0.499984740745262"/>
      </bottom>
      <diagonal/>
    </border>
  </borders>
  <cellStyleXfs count="2">
    <xf numFmtId="0" fontId="0" fillId="0" borderId="0"/>
    <xf numFmtId="9" fontId="4" fillId="0" borderId="0" applyFont="0" applyFill="0" applyBorder="0" applyAlignment="0" applyProtection="0"/>
  </cellStyleXfs>
  <cellXfs count="16">
    <xf numFmtId="0" fontId="0" fillId="0" borderId="0" xfId="0"/>
    <xf numFmtId="0" fontId="1" fillId="2" borderId="0" xfId="0" applyFont="1" applyFill="1" applyAlignment="1">
      <alignment horizontal="center" vertical="center"/>
    </xf>
    <xf numFmtId="0" fontId="2" fillId="0" borderId="0" xfId="0" applyFont="1" applyAlignment="1">
      <alignment horizontal="center" vertical="center"/>
    </xf>
    <xf numFmtId="0" fontId="3" fillId="2" borderId="1" xfId="0" applyFont="1" applyFill="1" applyBorder="1" applyAlignment="1">
      <alignment horizontal="center" vertical="center"/>
    </xf>
    <xf numFmtId="0" fontId="5" fillId="2" borderId="0" xfId="0" applyFont="1" applyFill="1"/>
    <xf numFmtId="0" fontId="0" fillId="0" borderId="0" xfId="0" pivotButton="1"/>
    <xf numFmtId="0" fontId="0" fillId="0" borderId="0" xfId="0" applyAlignment="1">
      <alignment horizontal="left"/>
    </xf>
    <xf numFmtId="0" fontId="0" fillId="0" borderId="0" xfId="0" applyNumberFormat="1"/>
    <xf numFmtId="0" fontId="0" fillId="3" borderId="0" xfId="0" applyFill="1" applyAlignment="1">
      <alignment horizontal="center"/>
    </xf>
    <xf numFmtId="9" fontId="6" fillId="0" borderId="0" xfId="1" applyFont="1"/>
    <xf numFmtId="9" fontId="0" fillId="0" borderId="0" xfId="0" applyNumberFormat="1"/>
    <xf numFmtId="0" fontId="7" fillId="2" borderId="0" xfId="0" applyFont="1" applyFill="1"/>
    <xf numFmtId="0" fontId="8" fillId="2" borderId="0" xfId="0" applyFont="1" applyFill="1" applyAlignment="1">
      <alignment horizontal="left"/>
    </xf>
    <xf numFmtId="0" fontId="9" fillId="2" borderId="0" xfId="0" applyFont="1" applyFill="1"/>
    <xf numFmtId="174" fontId="0" fillId="0" borderId="0" xfId="0" applyNumberFormat="1"/>
    <xf numFmtId="174" fontId="6" fillId="0" borderId="0" xfId="0" applyNumberFormat="1" applyFont="1"/>
  </cellXfs>
  <cellStyles count="2">
    <cellStyle name="Normal" xfId="0" builtinId="0"/>
    <cellStyle name="Percent" xfId="1" builtinId="5"/>
  </cellStyles>
  <dxfs count="25">
    <dxf>
      <font>
        <b/>
        <i val="0"/>
        <color theme="0"/>
        <name val="Kulim Park"/>
        <charset val="178"/>
      </font>
      <fill>
        <patternFill patternType="solid">
          <fgColor rgb="FF282828"/>
          <bgColor theme="1"/>
        </patternFill>
      </fill>
    </dxf>
    <dxf>
      <font>
        <color rgb="FF282828"/>
      </font>
      <fill>
        <patternFill patternType="solid">
          <fgColor rgb="FF282828"/>
          <bgColor theme="1"/>
        </patternFill>
      </fill>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outline="0">
        <left/>
        <right/>
        <top style="thin">
          <color theme="1" tint="0.499984740745262"/>
        </top>
        <bottom style="thin">
          <color theme="1" tint="0.499984740745262"/>
        </bottom>
      </border>
    </dxf>
    <dxf>
      <font>
        <strike val="0"/>
        <outline val="0"/>
        <shadow val="0"/>
        <u val="none"/>
        <vertAlign val="baseline"/>
        <sz val="11"/>
        <color theme="0" tint="-4.9989318521683403E-2"/>
        <name val="Kulim Park"/>
        <scheme val="none"/>
      </font>
      <numFmt numFmtId="0" formatCode="General"/>
      <fill>
        <patternFill patternType="solid">
          <fgColor indexed="64"/>
          <bgColor rgb="FF282828"/>
        </patternFill>
      </fill>
      <alignment horizontal="center" vertical="center" textRotation="0" wrapText="0" indent="0" justifyLastLine="0" shrinkToFit="0" readingOrder="0"/>
      <border diagonalUp="0" diagonalDown="0" outline="0">
        <left/>
        <right/>
        <top style="thin">
          <color theme="1" tint="0.499984740745262"/>
        </top>
        <bottom style="thin">
          <color theme="1" tint="0.499984740745262"/>
        </bottom>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dxf>
    <dxf>
      <font>
        <b/>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dxf>
  </dxfs>
  <tableStyles count="1" defaultTableStyle="TableStyleMedium2" defaultPivotStyle="PivotStyleLight16">
    <tableStyle name="Slicer Style 1" pivot="0" table="0" count="10" xr9:uid="{575D733F-FE9E-4B25-A766-461A53BCEAE2}">
      <tableStyleElement type="wholeTable" dxfId="1"/>
      <tableStyleElement type="headerRow" dxfId="0"/>
    </tableStyle>
  </tableStyles>
  <colors>
    <mruColors>
      <color rgb="FF282828"/>
      <color rgb="FF1F1F1F"/>
      <color rgb="FF008DFF"/>
      <color rgb="FF005FD2"/>
      <color rgb="FF3366FF"/>
    </mruColors>
  </colors>
  <extLst>
    <ext xmlns:x14="http://schemas.microsoft.com/office/spreadsheetml/2009/9/main" uri="{46F421CA-312F-682f-3DD2-61675219B42D}">
      <x14:dxfs count="88">
        <dxf>
          <fill>
            <patternFill>
              <fgColor rgb="FF008DFF"/>
            </patternFill>
          </fill>
        </dxf>
        <dxf>
          <fill>
            <patternFill>
              <fgColor rgb="FF008DFF"/>
            </patternFill>
          </fill>
        </dxf>
        <dxf>
          <fill>
            <gradientFill degree="90">
              <stop position="0">
                <color rgb="FF008DFF"/>
              </stop>
              <stop position="1">
                <color rgb="FF008DFF"/>
              </stop>
            </gradientFill>
          </fill>
        </dxf>
        <dxf>
          <fill>
            <patternFill>
              <fgColor rgb="FF008DFF"/>
            </patternFill>
          </fill>
        </dxf>
        <dxf>
          <fill>
            <patternFill>
              <fgColor rgb="FF008DFF"/>
            </patternFill>
          </fill>
        </dxf>
        <dxf>
          <font>
            <b/>
            <i val="0"/>
            <sz val="16"/>
            <color rgb="FF1F1F1F"/>
            <name val="Kulim Park"/>
            <charset val="178"/>
          </font>
          <fill>
            <gradientFill degree="90">
              <stop position="0">
                <color rgb="FF008DFF"/>
              </stop>
              <stop position="1">
                <color rgb="FF008DFF"/>
              </stop>
            </gradientFill>
          </fill>
        </dxf>
        <dxf>
          <fill>
            <patternFill>
              <fgColor rgb="FF008DFF"/>
            </patternFill>
          </fill>
        </dxf>
        <dxf>
          <font>
            <sz val="16"/>
            <color theme="0"/>
            <name val="Kulim Park"/>
            <charset val="178"/>
          </font>
          <fill>
            <gradientFill degree="90">
              <stop position="0">
                <color rgb="FF008DFF"/>
              </stop>
              <stop position="1">
                <color rgb="FF008DFF"/>
              </stop>
            </gradientFill>
          </fill>
          <border diagonalUp="0" diagonalDown="0">
            <left/>
            <right/>
            <top/>
            <bottom/>
            <vertical/>
            <horizontal/>
          </border>
        </dxf>
        <dxf>
          <fill>
            <patternFill>
              <fgColor rgb="FF008DFF"/>
            </patternFill>
          </fill>
        </dxf>
        <dxf>
          <fill>
            <patternFill>
              <fgColor rgb="FF008DFF"/>
            </patternFill>
          </fill>
        </dxf>
        <dxf>
          <fill>
            <gradientFill degree="90">
              <stop position="0">
                <color rgb="FF008DFF"/>
              </stop>
              <stop position="1">
                <color rgb="FF008DFF"/>
              </stop>
            </gradientFill>
          </fill>
        </dxf>
        <dxf>
          <fill>
            <patternFill>
              <fgColor rgb="FF008DFF"/>
            </patternFill>
          </fill>
        </dxf>
        <dxf>
          <fill>
            <patternFill>
              <fgColor rgb="FF008DFF"/>
            </patternFill>
          </fill>
        </dxf>
        <dxf>
          <font>
            <b/>
            <i val="0"/>
            <sz val="16"/>
            <color rgb="FF1F1F1F"/>
            <name val="Kulim Park"/>
            <charset val="178"/>
          </font>
          <fill>
            <gradientFill degree="90">
              <stop position="0">
                <color rgb="FF008DFF"/>
              </stop>
              <stop position="1">
                <color rgb="FF008DFF"/>
              </stop>
            </gradientFill>
          </fill>
        </dxf>
        <dxf>
          <fill>
            <patternFill>
              <fgColor rgb="FF008DFF"/>
            </patternFill>
          </fill>
        </dxf>
        <dxf>
          <font>
            <sz val="16"/>
            <color theme="0"/>
            <name val="Kulim Park"/>
            <charset val="178"/>
          </font>
          <fill>
            <gradientFill degree="90">
              <stop position="0">
                <color rgb="FF008DFF"/>
              </stop>
              <stop position="1">
                <color rgb="FF008DFF"/>
              </stop>
            </gradientFill>
          </fill>
          <border diagonalUp="0" diagonalDown="0">
            <left/>
            <right/>
            <top/>
            <bottom/>
            <vertical/>
            <horizontal/>
          </border>
        </dxf>
        <dxf>
          <fill>
            <patternFill>
              <fgColor rgb="FF008DFF"/>
            </patternFill>
          </fill>
        </dxf>
        <dxf>
          <fill>
            <patternFill>
              <fgColor rgb="FF008DFF"/>
            </patternFill>
          </fill>
        </dxf>
        <dxf>
          <fill>
            <gradientFill degree="90">
              <stop position="0">
                <color rgb="FF008DFF"/>
              </stop>
              <stop position="1">
                <color rgb="FF008DFF"/>
              </stop>
            </gradientFill>
          </fill>
        </dxf>
        <dxf>
          <fill>
            <patternFill>
              <fgColor rgb="FF008DFF"/>
            </patternFill>
          </fill>
        </dxf>
        <dxf>
          <fill>
            <patternFill>
              <fgColor rgb="FF008DFF"/>
            </patternFill>
          </fill>
        </dxf>
        <dxf>
          <font>
            <b/>
            <i val="0"/>
            <sz val="16"/>
            <color rgb="FF1F1F1F"/>
            <name val="Kulim Park"/>
            <charset val="178"/>
          </font>
          <fill>
            <gradientFill degree="90">
              <stop position="0">
                <color rgb="FF008DFF"/>
              </stop>
              <stop position="1">
                <color rgb="FF008DFF"/>
              </stop>
            </gradientFill>
          </fill>
        </dxf>
        <dxf>
          <fill>
            <patternFill>
              <fgColor rgb="FF008DFF"/>
            </patternFill>
          </fill>
        </dxf>
        <dxf>
          <font>
            <sz val="16"/>
            <color theme="0"/>
            <name val="Kulim Park"/>
            <charset val="178"/>
          </font>
          <fill>
            <gradientFill degree="90">
              <stop position="0">
                <color rgb="FF008DFF"/>
              </stop>
              <stop position="1">
                <color rgb="FF008DFF"/>
              </stop>
            </gradientFill>
          </fill>
          <border diagonalUp="0" diagonalDown="0">
            <left/>
            <right/>
            <top/>
            <bottom/>
            <vertical/>
            <horizontal/>
          </border>
        </dxf>
        <dxf>
          <fill>
            <patternFill>
              <fgColor rgb="FF008DFF"/>
            </patternFill>
          </fill>
        </dxf>
        <dxf>
          <fill>
            <patternFill>
              <fgColor rgb="FF008DFF"/>
            </patternFill>
          </fill>
        </dxf>
        <dxf>
          <fill>
            <gradientFill degree="90">
              <stop position="0">
                <color rgb="FF008DFF"/>
              </stop>
              <stop position="1">
                <color rgb="FF008DFF"/>
              </stop>
            </gradientFill>
          </fill>
        </dxf>
        <dxf>
          <fill>
            <patternFill>
              <fgColor rgb="FF008DFF"/>
            </patternFill>
          </fill>
        </dxf>
        <dxf>
          <fill>
            <patternFill>
              <fgColor rgb="FF008DFF"/>
            </patternFill>
          </fill>
        </dxf>
        <dxf>
          <font>
            <b/>
            <i val="0"/>
            <sz val="16"/>
            <color rgb="FF1F1F1F"/>
            <name val="Kulim Park"/>
            <charset val="178"/>
          </font>
          <fill>
            <gradientFill degree="90">
              <stop position="0">
                <color rgb="FF008DFF"/>
              </stop>
              <stop position="1">
                <color rgb="FF008DFF"/>
              </stop>
            </gradientFill>
          </fill>
        </dxf>
        <dxf>
          <fill>
            <patternFill>
              <fgColor rgb="FF008DFF"/>
            </patternFill>
          </fill>
        </dxf>
        <dxf>
          <font>
            <sz val="16"/>
            <color theme="0"/>
            <name val="Kulim Park"/>
            <charset val="178"/>
          </font>
          <fill>
            <gradientFill degree="90">
              <stop position="0">
                <color rgb="FF008DFF"/>
              </stop>
              <stop position="1">
                <color rgb="FF008DFF"/>
              </stop>
            </gradientFill>
          </fill>
          <border diagonalUp="0" diagonalDown="0">
            <left/>
            <right/>
            <top/>
            <bottom/>
            <vertical/>
            <horizontal/>
          </border>
        </dxf>
        <dxf>
          <fill>
            <patternFill>
              <fgColor rgb="FF008DFF"/>
            </patternFill>
          </fill>
        </dxf>
        <dxf>
          <fill>
            <patternFill>
              <fgColor rgb="FF008DFF"/>
            </patternFill>
          </fill>
        </dxf>
        <dxf>
          <fill>
            <gradientFill degree="90">
              <stop position="0">
                <color rgb="FF008DFF"/>
              </stop>
              <stop position="1">
                <color rgb="FF008DFF"/>
              </stop>
            </gradientFill>
          </fill>
        </dxf>
        <dxf>
          <fill>
            <patternFill>
              <fgColor rgb="FF008DFF"/>
            </patternFill>
          </fill>
        </dxf>
        <dxf>
          <fill>
            <patternFill>
              <fgColor rgb="FF008DFF"/>
            </patternFill>
          </fill>
        </dxf>
        <dxf>
          <font>
            <b/>
            <i val="0"/>
            <sz val="16"/>
            <color rgb="FF1F1F1F"/>
            <name val="Kulim Park"/>
            <charset val="178"/>
          </font>
          <fill>
            <gradientFill degree="90">
              <stop position="0">
                <color rgb="FF008DFF"/>
              </stop>
              <stop position="1">
                <color rgb="FF008DFF"/>
              </stop>
            </gradientFill>
          </fill>
        </dxf>
        <dxf>
          <fill>
            <patternFill>
              <fgColor rgb="FF008DFF"/>
            </patternFill>
          </fill>
        </dxf>
        <dxf>
          <font>
            <sz val="16"/>
            <color theme="0"/>
            <name val="Kulim Park"/>
            <charset val="178"/>
          </font>
          <fill>
            <gradientFill degree="90">
              <stop position="0">
                <color rgb="FF008DFF"/>
              </stop>
              <stop position="1">
                <color rgb="FF008DFF"/>
              </stop>
            </gradientFill>
          </fill>
          <border diagonalUp="0" diagonalDown="0">
            <left/>
            <right/>
            <top/>
            <bottom/>
            <vertical/>
            <horizontal/>
          </border>
        </dxf>
        <dxf>
          <fill>
            <patternFill>
              <fgColor rgb="FF008DFF"/>
            </patternFill>
          </fill>
        </dxf>
        <dxf>
          <fill>
            <patternFill>
              <fgColor rgb="FF008DFF"/>
            </patternFill>
          </fill>
        </dxf>
        <dxf>
          <fill>
            <gradientFill degree="90">
              <stop position="0">
                <color rgb="FF008DFF"/>
              </stop>
              <stop position="1">
                <color rgb="FF008DFF"/>
              </stop>
            </gradientFill>
          </fill>
        </dxf>
        <dxf>
          <fill>
            <patternFill>
              <fgColor rgb="FF008DFF"/>
            </patternFill>
          </fill>
        </dxf>
        <dxf>
          <fill>
            <patternFill>
              <fgColor rgb="FF008DFF"/>
            </patternFill>
          </fill>
        </dxf>
        <dxf>
          <font>
            <b/>
            <i val="0"/>
            <sz val="16"/>
            <color rgb="FF1F1F1F"/>
            <name val="Kulim Park"/>
            <charset val="178"/>
          </font>
          <fill>
            <gradientFill degree="90">
              <stop position="0">
                <color rgb="FF008DFF"/>
              </stop>
              <stop position="1">
                <color rgb="FF008DFF"/>
              </stop>
            </gradientFill>
          </fill>
        </dxf>
        <dxf>
          <fill>
            <patternFill>
              <fgColor rgb="FF008DFF"/>
            </patternFill>
          </fill>
        </dxf>
        <dxf>
          <font>
            <sz val="16"/>
            <color theme="0"/>
            <name val="Kulim Park"/>
            <charset val="178"/>
          </font>
          <fill>
            <gradientFill degree="90">
              <stop position="0">
                <color rgb="FF008DFF"/>
              </stop>
              <stop position="1">
                <color rgb="FF008DFF"/>
              </stop>
            </gradientFill>
          </fill>
          <border diagonalUp="0" diagonalDown="0">
            <left/>
            <right/>
            <top/>
            <bottom/>
            <vertical/>
            <horizontal/>
          </border>
        </dxf>
        <dxf>
          <fill>
            <patternFill>
              <fgColor rgb="FF008DFF"/>
            </patternFill>
          </fill>
        </dxf>
        <dxf>
          <fill>
            <patternFill>
              <fgColor rgb="FF008DFF"/>
            </patternFill>
          </fill>
        </dxf>
        <dxf>
          <fill>
            <gradientFill degree="90">
              <stop position="0">
                <color rgb="FF008DFF"/>
              </stop>
              <stop position="1">
                <color rgb="FF008DFF"/>
              </stop>
            </gradientFill>
          </fill>
        </dxf>
        <dxf>
          <fill>
            <patternFill>
              <fgColor rgb="FF008DFF"/>
            </patternFill>
          </fill>
        </dxf>
        <dxf>
          <fill>
            <patternFill>
              <fgColor rgb="FF008DFF"/>
            </patternFill>
          </fill>
        </dxf>
        <dxf>
          <font>
            <b/>
            <i val="0"/>
            <sz val="16"/>
            <color rgb="FF1F1F1F"/>
            <name val="Kulim Park"/>
            <charset val="178"/>
          </font>
          <fill>
            <gradientFill degree="90">
              <stop position="0">
                <color rgb="FF008DFF"/>
              </stop>
              <stop position="1">
                <color rgb="FF008DFF"/>
              </stop>
            </gradientFill>
          </fill>
        </dxf>
        <dxf>
          <fill>
            <patternFill>
              <fgColor rgb="FF008DFF"/>
            </patternFill>
          </fill>
        </dxf>
        <dxf>
          <font>
            <sz val="16"/>
            <color theme="0"/>
            <name val="Kulim Park"/>
            <charset val="178"/>
          </font>
          <fill>
            <gradientFill degree="90">
              <stop position="0">
                <color rgb="FF008DFF"/>
              </stop>
              <stop position="1">
                <color rgb="FF008DFF"/>
              </stop>
            </gradientFill>
          </fill>
          <border diagonalUp="0" diagonalDown="0">
            <left/>
            <right/>
            <top/>
            <bottom/>
            <vertical/>
            <horizontal/>
          </border>
        </dxf>
        <dxf>
          <fill>
            <patternFill>
              <fgColor rgb="FF008DFF"/>
            </patternFill>
          </fill>
        </dxf>
        <dxf>
          <fill>
            <patternFill>
              <fgColor rgb="FF008DFF"/>
            </patternFill>
          </fill>
        </dxf>
        <dxf>
          <fill>
            <gradientFill degree="90">
              <stop position="0">
                <color rgb="FF008DFF"/>
              </stop>
              <stop position="1">
                <color rgb="FF008DFF"/>
              </stop>
            </gradientFill>
          </fill>
        </dxf>
        <dxf>
          <fill>
            <patternFill>
              <fgColor rgb="FF008DFF"/>
            </patternFill>
          </fill>
        </dxf>
        <dxf>
          <fill>
            <patternFill>
              <fgColor rgb="FF008DFF"/>
            </patternFill>
          </fill>
        </dxf>
        <dxf>
          <font>
            <b/>
            <i val="0"/>
            <sz val="16"/>
            <color rgb="FF1F1F1F"/>
            <name val="Kulim Park"/>
            <charset val="178"/>
          </font>
          <fill>
            <gradientFill degree="90">
              <stop position="0">
                <color rgb="FF008DFF"/>
              </stop>
              <stop position="1">
                <color rgb="FF008DFF"/>
              </stop>
            </gradientFill>
          </fill>
        </dxf>
        <dxf>
          <fill>
            <patternFill>
              <fgColor rgb="FF008DFF"/>
            </patternFill>
          </fill>
        </dxf>
        <dxf>
          <font>
            <sz val="16"/>
            <color theme="0"/>
            <name val="Kulim Park"/>
            <charset val="178"/>
          </font>
          <fill>
            <gradientFill degree="90">
              <stop position="0">
                <color rgb="FF008DFF"/>
              </stop>
              <stop position="1">
                <color rgb="FF008DFF"/>
              </stop>
            </gradientFill>
          </fill>
          <border diagonalUp="0" diagonalDown="0">
            <left/>
            <right/>
            <top/>
            <bottom/>
            <vertical/>
            <horizontal/>
          </border>
        </dxf>
        <dxf>
          <fill>
            <patternFill>
              <fgColor rgb="FF008DFF"/>
            </patternFill>
          </fill>
        </dxf>
        <dxf>
          <fill>
            <patternFill>
              <fgColor rgb="FF008DFF"/>
            </patternFill>
          </fill>
        </dxf>
        <dxf>
          <fill>
            <gradientFill degree="90">
              <stop position="0">
                <color rgb="FF008DFF"/>
              </stop>
              <stop position="1">
                <color rgb="FF008DFF"/>
              </stop>
            </gradientFill>
          </fill>
        </dxf>
        <dxf>
          <fill>
            <patternFill>
              <fgColor rgb="FF008DFF"/>
            </patternFill>
          </fill>
        </dxf>
        <dxf>
          <fill>
            <patternFill>
              <fgColor rgb="FF008DFF"/>
            </patternFill>
          </fill>
        </dxf>
        <dxf>
          <font>
            <b/>
            <i val="0"/>
            <sz val="16"/>
            <color rgb="FF1F1F1F"/>
            <name val="Kulim Park"/>
            <charset val="178"/>
          </font>
          <fill>
            <gradientFill degree="90">
              <stop position="0">
                <color rgb="FF008DFF"/>
              </stop>
              <stop position="1">
                <color rgb="FF008DFF"/>
              </stop>
            </gradientFill>
          </fill>
        </dxf>
        <dxf>
          <fill>
            <patternFill>
              <fgColor rgb="FF008DFF"/>
            </patternFill>
          </fill>
        </dxf>
        <dxf>
          <font>
            <sz val="16"/>
            <color theme="0"/>
            <name val="Kulim Park"/>
            <charset val="178"/>
          </font>
          <fill>
            <gradientFill degree="90">
              <stop position="0">
                <color rgb="FF008DFF"/>
              </stop>
              <stop position="1">
                <color rgb="FF008DFF"/>
              </stop>
            </gradientFill>
          </fill>
          <border diagonalUp="0" diagonalDown="0">
            <left/>
            <right/>
            <top/>
            <bottom/>
            <vertical/>
            <horizontal/>
          </border>
        </dxf>
        <dxf>
          <fill>
            <patternFill>
              <fgColor rgb="FF008DFF"/>
            </patternFill>
          </fill>
        </dxf>
        <dxf>
          <fill>
            <patternFill>
              <fgColor rgb="FF008DFF"/>
            </patternFill>
          </fill>
        </dxf>
        <dxf>
          <fill>
            <gradientFill degree="90">
              <stop position="0">
                <color rgb="FF008DFF"/>
              </stop>
              <stop position="1">
                <color rgb="FF008DFF"/>
              </stop>
            </gradientFill>
          </fill>
        </dxf>
        <dxf>
          <fill>
            <patternFill>
              <fgColor rgb="FF008DFF"/>
            </patternFill>
          </fill>
        </dxf>
        <dxf>
          <fill>
            <patternFill>
              <fgColor rgb="FF008DFF"/>
            </patternFill>
          </fill>
        </dxf>
        <dxf>
          <font>
            <b val="0"/>
            <i val="0"/>
            <sz val="16"/>
            <color theme="0"/>
            <name val="Kulim Park"/>
            <charset val="178"/>
          </font>
          <fill>
            <gradientFill degree="90">
              <stop position="0">
                <color rgb="FF008DFF"/>
              </stop>
              <stop position="1">
                <color rgb="FF008DFF"/>
              </stop>
            </gradientFill>
          </fill>
        </dxf>
        <dxf>
          <fill>
            <patternFill>
              <fgColor rgb="FF008DFF"/>
            </patternFill>
          </fill>
        </dxf>
        <dxf>
          <font>
            <sz val="16"/>
            <color theme="0"/>
            <name val="Kulim Park"/>
            <charset val="178"/>
          </font>
          <fill>
            <gradientFill degree="90">
              <stop position="0">
                <color rgb="FF008DFF"/>
              </stop>
              <stop position="1">
                <color rgb="FF008DFF"/>
              </stop>
            </gradientFill>
          </fill>
          <border diagonalUp="0" diagonalDown="0">
            <left/>
            <right/>
            <top/>
            <bottom/>
            <vertical/>
            <horizontal/>
          </border>
        </dxf>
        <dxf>
          <fill>
            <patternFill>
              <fgColor rgb="FF008DFF"/>
            </patternFill>
          </fill>
        </dxf>
        <dxf>
          <fill>
            <patternFill>
              <fgColor rgb="FF008DFF"/>
            </patternFill>
          </fill>
        </dxf>
        <dxf>
          <fill>
            <patternFill>
              <fgColor rgb="FF008DFF"/>
            </patternFill>
          </fill>
        </dxf>
        <dxf>
          <fill>
            <patternFill>
              <fgColor rgb="FF008DFF"/>
            </patternFill>
          </fill>
        </dxf>
        <dxf>
          <fill>
            <patternFill>
              <fgColor rgb="FF008DFF"/>
            </patternFill>
          </fill>
        </dxf>
        <dxf>
          <font>
            <b val="0"/>
            <i val="0"/>
            <sz val="16"/>
            <color theme="0"/>
            <name val="Kulim Park"/>
            <charset val="178"/>
          </font>
          <fill>
            <gradientFill degree="90">
              <stop position="0">
                <color rgb="FF008DFF"/>
              </stop>
              <stop position="1">
                <color rgb="FF008DFF"/>
              </stop>
            </gradientFill>
          </fill>
        </dxf>
        <dxf>
          <fill>
            <patternFill>
              <fgColor rgb="FF008DFF"/>
            </patternFill>
          </fill>
        </dxf>
        <dxf>
          <font>
            <sz val="16"/>
            <color theme="0"/>
            <name val="Kulim Park"/>
            <charset val="178"/>
          </font>
          <fill>
            <gradientFill degree="90">
              <stop position="0">
                <color rgb="FF008DFF"/>
              </stop>
              <stop position="1">
                <color rgb="FF008DFF"/>
              </stop>
            </gradientFill>
          </fill>
          <border diagonalUp="0" diagonalDown="0">
            <left/>
            <right/>
            <top/>
            <bottom/>
            <vertical/>
            <horizontal/>
          </border>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spPr>
            <a:ln w="82550">
              <a:solidFill>
                <a:srgbClr val="1F1F1F"/>
              </a:solidFill>
            </a:ln>
          </c:spPr>
          <c:dPt>
            <c:idx val="0"/>
            <c:bubble3D val="0"/>
            <c:spPr>
              <a:solidFill>
                <a:schemeClr val="tx1">
                  <a:lumMod val="65000"/>
                  <a:lumOff val="35000"/>
                </a:schemeClr>
              </a:solidFill>
              <a:ln w="82550">
                <a:solidFill>
                  <a:srgbClr val="1F1F1F"/>
                </a:solidFill>
              </a:ln>
              <a:effectLst/>
            </c:spPr>
            <c:extLst>
              <c:ext xmlns:c16="http://schemas.microsoft.com/office/drawing/2014/chart" uri="{C3380CC4-5D6E-409C-BE32-E72D297353CC}">
                <c16:uniqueId val="{00000001-A99B-4446-A3C1-BCA99E160E94}"/>
              </c:ext>
            </c:extLst>
          </c:dPt>
          <c:dPt>
            <c:idx val="1"/>
            <c:bubble3D val="0"/>
            <c:spPr>
              <a:solidFill>
                <a:srgbClr val="005FD2"/>
              </a:solidFill>
              <a:ln w="82550">
                <a:solidFill>
                  <a:srgbClr val="1F1F1F"/>
                </a:solidFill>
              </a:ln>
              <a:effectLst/>
            </c:spPr>
            <c:extLst>
              <c:ext xmlns:c16="http://schemas.microsoft.com/office/drawing/2014/chart" uri="{C3380CC4-5D6E-409C-BE32-E72D297353CC}">
                <c16:uniqueId val="{00000003-A99B-4446-A3C1-BCA99E160E94}"/>
              </c:ext>
            </c:extLst>
          </c:dPt>
          <c:dPt>
            <c:idx val="2"/>
            <c:bubble3D val="0"/>
            <c:spPr>
              <a:solidFill>
                <a:schemeClr val="accent4">
                  <a:lumMod val="20000"/>
                  <a:lumOff val="80000"/>
                </a:schemeClr>
              </a:solidFill>
              <a:ln w="82550">
                <a:solidFill>
                  <a:srgbClr val="1F1F1F"/>
                </a:solidFill>
              </a:ln>
              <a:effectLst/>
            </c:spPr>
            <c:extLst>
              <c:ext xmlns:c16="http://schemas.microsoft.com/office/drawing/2014/chart" uri="{C3380CC4-5D6E-409C-BE32-E72D297353CC}">
                <c16:uniqueId val="{00000005-A99B-4446-A3C1-BCA99E160E94}"/>
              </c:ext>
            </c:extLst>
          </c:dPt>
          <c:cat>
            <c:strRef>
              <c:f>'pivot table'!$B$10:$B$12</c:f>
              <c:strCache>
                <c:ptCount val="3"/>
                <c:pt idx="0">
                  <c:v>Contract</c:v>
                </c:pt>
                <c:pt idx="1">
                  <c:v>Full-Time</c:v>
                </c:pt>
                <c:pt idx="2">
                  <c:v>Part-Time</c:v>
                </c:pt>
              </c:strCache>
            </c:strRef>
          </c:cat>
          <c:val>
            <c:numRef>
              <c:f>'pivot table'!$C$10:$C$12</c:f>
              <c:numCache>
                <c:formatCode>General</c:formatCode>
                <c:ptCount val="3"/>
                <c:pt idx="0">
                  <c:v>17</c:v>
                </c:pt>
                <c:pt idx="1">
                  <c:v>20</c:v>
                </c:pt>
                <c:pt idx="2">
                  <c:v>13</c:v>
                </c:pt>
              </c:numCache>
            </c:numRef>
          </c:val>
          <c:extLst>
            <c:ext xmlns:c16="http://schemas.microsoft.com/office/drawing/2014/chart" uri="{C3380CC4-5D6E-409C-BE32-E72D297353CC}">
              <c16:uniqueId val="{00000006-A99B-4446-A3C1-BCA99E160E94}"/>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table.xlsx]pivot table!PivotTable8</c:name>
    <c:fmtId val="9"/>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8D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008DFF"/>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lumMod val="20000"/>
              <a:lumOff val="80000"/>
              <a:alpha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accent4">
                      <a:lumMod val="20000"/>
                      <a:lumOff val="8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table'!$I$3:$I$4</c:f>
              <c:strCache>
                <c:ptCount val="1"/>
                <c:pt idx="0">
                  <c:v>Female</c:v>
                </c:pt>
              </c:strCache>
            </c:strRef>
          </c:tx>
          <c:spPr>
            <a:solidFill>
              <a:srgbClr val="008DF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008DFF"/>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table'!$H$5:$H$10</c:f>
              <c:strCache>
                <c:ptCount val="5"/>
                <c:pt idx="0">
                  <c:v>18-25</c:v>
                </c:pt>
                <c:pt idx="1">
                  <c:v>26-35</c:v>
                </c:pt>
                <c:pt idx="2">
                  <c:v>36-45</c:v>
                </c:pt>
                <c:pt idx="3">
                  <c:v>46-55</c:v>
                </c:pt>
                <c:pt idx="4">
                  <c:v>56 &lt;</c:v>
                </c:pt>
              </c:strCache>
            </c:strRef>
          </c:cat>
          <c:val>
            <c:numRef>
              <c:f>'pivot table'!$I$5:$I$10</c:f>
              <c:numCache>
                <c:formatCode>General</c:formatCode>
                <c:ptCount val="5"/>
                <c:pt idx="0">
                  <c:v>6</c:v>
                </c:pt>
                <c:pt idx="1">
                  <c:v>7</c:v>
                </c:pt>
                <c:pt idx="2">
                  <c:v>5</c:v>
                </c:pt>
                <c:pt idx="3">
                  <c:v>4</c:v>
                </c:pt>
                <c:pt idx="4">
                  <c:v>4</c:v>
                </c:pt>
              </c:numCache>
            </c:numRef>
          </c:val>
          <c:extLst>
            <c:ext xmlns:c16="http://schemas.microsoft.com/office/drawing/2014/chart" uri="{C3380CC4-5D6E-409C-BE32-E72D297353CC}">
              <c16:uniqueId val="{00000000-C280-4DF3-ABE6-4239C6324BAC}"/>
            </c:ext>
          </c:extLst>
        </c:ser>
        <c:ser>
          <c:idx val="1"/>
          <c:order val="1"/>
          <c:tx>
            <c:strRef>
              <c:f>'pivot table'!$J$3:$J$4</c:f>
              <c:strCache>
                <c:ptCount val="1"/>
                <c:pt idx="0">
                  <c:v>Male</c:v>
                </c:pt>
              </c:strCache>
            </c:strRef>
          </c:tx>
          <c:spPr>
            <a:solidFill>
              <a:schemeClr val="accent4">
                <a:lumMod val="20000"/>
                <a:lumOff val="80000"/>
                <a:alpha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accent4">
                        <a:lumMod val="20000"/>
                        <a:lumOff val="8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table'!$H$5:$H$10</c:f>
              <c:strCache>
                <c:ptCount val="5"/>
                <c:pt idx="0">
                  <c:v>18-25</c:v>
                </c:pt>
                <c:pt idx="1">
                  <c:v>26-35</c:v>
                </c:pt>
                <c:pt idx="2">
                  <c:v>36-45</c:v>
                </c:pt>
                <c:pt idx="3">
                  <c:v>46-55</c:v>
                </c:pt>
                <c:pt idx="4">
                  <c:v>56 &lt;</c:v>
                </c:pt>
              </c:strCache>
            </c:strRef>
          </c:cat>
          <c:val>
            <c:numRef>
              <c:f>'pivot table'!$J$5:$J$10</c:f>
              <c:numCache>
                <c:formatCode>General</c:formatCode>
                <c:ptCount val="5"/>
                <c:pt idx="0">
                  <c:v>3</c:v>
                </c:pt>
                <c:pt idx="1">
                  <c:v>6</c:v>
                </c:pt>
                <c:pt idx="2">
                  <c:v>7</c:v>
                </c:pt>
                <c:pt idx="3">
                  <c:v>3</c:v>
                </c:pt>
                <c:pt idx="4">
                  <c:v>5</c:v>
                </c:pt>
              </c:numCache>
            </c:numRef>
          </c:val>
          <c:extLst>
            <c:ext xmlns:c16="http://schemas.microsoft.com/office/drawing/2014/chart" uri="{C3380CC4-5D6E-409C-BE32-E72D297353CC}">
              <c16:uniqueId val="{00000001-C280-4DF3-ABE6-4239C6324BAC}"/>
            </c:ext>
          </c:extLst>
        </c:ser>
        <c:dLbls>
          <c:dLblPos val="outEnd"/>
          <c:showLegendKey val="0"/>
          <c:showVal val="1"/>
          <c:showCatName val="0"/>
          <c:showSerName val="0"/>
          <c:showPercent val="0"/>
          <c:showBubbleSize val="0"/>
        </c:dLbls>
        <c:gapWidth val="219"/>
        <c:overlap val="-27"/>
        <c:axId val="1145608527"/>
        <c:axId val="1145611407"/>
      </c:barChart>
      <c:catAx>
        <c:axId val="11456085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45611407"/>
        <c:crosses val="autoZero"/>
        <c:auto val="1"/>
        <c:lblAlgn val="ctr"/>
        <c:lblOffset val="100"/>
        <c:noMultiLvlLbl val="0"/>
      </c:catAx>
      <c:valAx>
        <c:axId val="1145611407"/>
        <c:scaling>
          <c:orientation val="minMax"/>
        </c:scaling>
        <c:delete val="0"/>
        <c:axPos val="l"/>
        <c:majorGridlines>
          <c:spPr>
            <a:ln w="9525" cap="flat" cmpd="sng" algn="ctr">
              <a:gradFill>
                <a:gsLst>
                  <a:gs pos="0">
                    <a:srgbClr val="008DFF">
                      <a:alpha val="22000"/>
                    </a:srgb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prstDash val="dashDot"/>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456085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percentStacked"/>
        <c:varyColors val="0"/>
        <c:ser>
          <c:idx val="0"/>
          <c:order val="0"/>
          <c:spPr>
            <a:solidFill>
              <a:srgbClr val="008DFF"/>
            </a:solidFill>
            <a:ln>
              <a:noFill/>
            </a:ln>
            <a:effectLst/>
          </c:spPr>
          <c:invertIfNegative val="0"/>
          <c:val>
            <c:numRef>
              <c:f>'pivot table'!$O$11</c:f>
              <c:numCache>
                <c:formatCode>0%</c:formatCode>
                <c:ptCount val="1"/>
                <c:pt idx="0">
                  <c:v>0.46</c:v>
                </c:pt>
              </c:numCache>
            </c:numRef>
          </c:val>
          <c:extLst>
            <c:ext xmlns:c16="http://schemas.microsoft.com/office/drawing/2014/chart" uri="{C3380CC4-5D6E-409C-BE32-E72D297353CC}">
              <c16:uniqueId val="{00000000-02FF-4BD9-86F4-D3BB63558DFF}"/>
            </c:ext>
          </c:extLst>
        </c:ser>
        <c:ser>
          <c:idx val="1"/>
          <c:order val="1"/>
          <c:spPr>
            <a:solidFill>
              <a:srgbClr val="1F1F1F"/>
            </a:solidFill>
            <a:ln>
              <a:noFill/>
            </a:ln>
            <a:effectLst/>
          </c:spPr>
          <c:invertIfNegative val="0"/>
          <c:val>
            <c:numRef>
              <c:f>'pivot table'!$P$11</c:f>
              <c:numCache>
                <c:formatCode>0%</c:formatCode>
                <c:ptCount val="1"/>
                <c:pt idx="0">
                  <c:v>0.54</c:v>
                </c:pt>
              </c:numCache>
            </c:numRef>
          </c:val>
          <c:extLst>
            <c:ext xmlns:c16="http://schemas.microsoft.com/office/drawing/2014/chart" uri="{C3380CC4-5D6E-409C-BE32-E72D297353CC}">
              <c16:uniqueId val="{00000001-02FF-4BD9-86F4-D3BB63558DFF}"/>
            </c:ext>
          </c:extLst>
        </c:ser>
        <c:dLbls>
          <c:showLegendKey val="0"/>
          <c:showVal val="0"/>
          <c:showCatName val="0"/>
          <c:showSerName val="0"/>
          <c:showPercent val="0"/>
          <c:showBubbleSize val="0"/>
        </c:dLbls>
        <c:gapWidth val="150"/>
        <c:overlap val="100"/>
        <c:axId val="1145605647"/>
        <c:axId val="1145622447"/>
      </c:barChart>
      <c:catAx>
        <c:axId val="1145605647"/>
        <c:scaling>
          <c:orientation val="minMax"/>
        </c:scaling>
        <c:delete val="1"/>
        <c:axPos val="l"/>
        <c:majorTickMark val="none"/>
        <c:minorTickMark val="none"/>
        <c:tickLblPos val="nextTo"/>
        <c:crossAx val="1145622447"/>
        <c:crosses val="autoZero"/>
        <c:auto val="1"/>
        <c:lblAlgn val="ctr"/>
        <c:lblOffset val="100"/>
        <c:noMultiLvlLbl val="0"/>
      </c:catAx>
      <c:valAx>
        <c:axId val="1145622447"/>
        <c:scaling>
          <c:orientation val="minMax"/>
        </c:scaling>
        <c:delete val="1"/>
        <c:axPos val="b"/>
        <c:numFmt formatCode="0%" sourceLinked="1"/>
        <c:majorTickMark val="none"/>
        <c:minorTickMark val="none"/>
        <c:tickLblPos val="nextTo"/>
        <c:crossAx val="11456056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percentStacked"/>
        <c:varyColors val="0"/>
        <c:ser>
          <c:idx val="0"/>
          <c:order val="0"/>
          <c:spPr>
            <a:solidFill>
              <a:srgbClr val="008DFF"/>
            </a:solidFill>
            <a:ln>
              <a:noFill/>
            </a:ln>
            <a:effectLst/>
          </c:spPr>
          <c:invertIfNegative val="0"/>
          <c:val>
            <c:numRef>
              <c:f>'pivot table'!$O$12</c:f>
              <c:numCache>
                <c:formatCode>0%</c:formatCode>
                <c:ptCount val="1"/>
                <c:pt idx="0">
                  <c:v>0.16</c:v>
                </c:pt>
              </c:numCache>
            </c:numRef>
          </c:val>
          <c:extLst>
            <c:ext xmlns:c16="http://schemas.microsoft.com/office/drawing/2014/chart" uri="{C3380CC4-5D6E-409C-BE32-E72D297353CC}">
              <c16:uniqueId val="{00000000-434E-44A3-9B0D-9F96CF702961}"/>
            </c:ext>
          </c:extLst>
        </c:ser>
        <c:ser>
          <c:idx val="1"/>
          <c:order val="1"/>
          <c:spPr>
            <a:solidFill>
              <a:srgbClr val="1F1F1F"/>
            </a:solidFill>
            <a:ln>
              <a:noFill/>
            </a:ln>
            <a:effectLst/>
          </c:spPr>
          <c:invertIfNegative val="0"/>
          <c:val>
            <c:numRef>
              <c:f>'pivot table'!$P$12</c:f>
              <c:numCache>
                <c:formatCode>0%</c:formatCode>
                <c:ptCount val="1"/>
                <c:pt idx="0">
                  <c:v>0.84</c:v>
                </c:pt>
              </c:numCache>
            </c:numRef>
          </c:val>
          <c:extLst>
            <c:ext xmlns:c16="http://schemas.microsoft.com/office/drawing/2014/chart" uri="{C3380CC4-5D6E-409C-BE32-E72D297353CC}">
              <c16:uniqueId val="{00000001-434E-44A3-9B0D-9F96CF702961}"/>
            </c:ext>
          </c:extLst>
        </c:ser>
        <c:dLbls>
          <c:showLegendKey val="0"/>
          <c:showVal val="0"/>
          <c:showCatName val="0"/>
          <c:showSerName val="0"/>
          <c:showPercent val="0"/>
          <c:showBubbleSize val="0"/>
        </c:dLbls>
        <c:gapWidth val="150"/>
        <c:overlap val="100"/>
        <c:axId val="1145634447"/>
        <c:axId val="1145518767"/>
      </c:barChart>
      <c:catAx>
        <c:axId val="1145634447"/>
        <c:scaling>
          <c:orientation val="minMax"/>
        </c:scaling>
        <c:delete val="1"/>
        <c:axPos val="l"/>
        <c:majorTickMark val="none"/>
        <c:minorTickMark val="none"/>
        <c:tickLblPos val="nextTo"/>
        <c:crossAx val="1145518767"/>
        <c:crosses val="autoZero"/>
        <c:auto val="1"/>
        <c:lblAlgn val="ctr"/>
        <c:lblOffset val="100"/>
        <c:noMultiLvlLbl val="0"/>
      </c:catAx>
      <c:valAx>
        <c:axId val="1145518767"/>
        <c:scaling>
          <c:orientation val="minMax"/>
        </c:scaling>
        <c:delete val="1"/>
        <c:axPos val="b"/>
        <c:numFmt formatCode="0%" sourceLinked="1"/>
        <c:majorTickMark val="none"/>
        <c:minorTickMark val="none"/>
        <c:tickLblPos val="nextTo"/>
        <c:crossAx val="11456344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percentStacked"/>
        <c:varyColors val="0"/>
        <c:ser>
          <c:idx val="0"/>
          <c:order val="0"/>
          <c:spPr>
            <a:solidFill>
              <a:schemeClr val="accent1"/>
            </a:solidFill>
            <a:ln>
              <a:noFill/>
            </a:ln>
            <a:effectLst/>
          </c:spPr>
          <c:invertIfNegative val="0"/>
          <c:dPt>
            <c:idx val="0"/>
            <c:invertIfNegative val="0"/>
            <c:bubble3D val="0"/>
            <c:spPr>
              <a:solidFill>
                <a:srgbClr val="008DFF"/>
              </a:solidFill>
              <a:ln>
                <a:noFill/>
              </a:ln>
              <a:effectLst/>
            </c:spPr>
            <c:extLst>
              <c:ext xmlns:c16="http://schemas.microsoft.com/office/drawing/2014/chart" uri="{C3380CC4-5D6E-409C-BE32-E72D297353CC}">
                <c16:uniqueId val="{00000002-2AD3-469E-BBAB-5403C3EE6478}"/>
              </c:ext>
            </c:extLst>
          </c:dPt>
          <c:val>
            <c:numRef>
              <c:f>'pivot table'!$O$13</c:f>
              <c:numCache>
                <c:formatCode>0%</c:formatCode>
                <c:ptCount val="1"/>
                <c:pt idx="0">
                  <c:v>0.38</c:v>
                </c:pt>
              </c:numCache>
            </c:numRef>
          </c:val>
          <c:extLst>
            <c:ext xmlns:c16="http://schemas.microsoft.com/office/drawing/2014/chart" uri="{C3380CC4-5D6E-409C-BE32-E72D297353CC}">
              <c16:uniqueId val="{00000000-2AD3-469E-BBAB-5403C3EE6478}"/>
            </c:ext>
          </c:extLst>
        </c:ser>
        <c:ser>
          <c:idx val="1"/>
          <c:order val="1"/>
          <c:spPr>
            <a:solidFill>
              <a:srgbClr val="1F1F1F"/>
            </a:solidFill>
            <a:ln>
              <a:noFill/>
            </a:ln>
            <a:effectLst/>
          </c:spPr>
          <c:invertIfNegative val="0"/>
          <c:val>
            <c:numRef>
              <c:f>'pivot table'!$P$13</c:f>
              <c:numCache>
                <c:formatCode>0%</c:formatCode>
                <c:ptCount val="1"/>
                <c:pt idx="0">
                  <c:v>0.62</c:v>
                </c:pt>
              </c:numCache>
            </c:numRef>
          </c:val>
          <c:extLst>
            <c:ext xmlns:c16="http://schemas.microsoft.com/office/drawing/2014/chart" uri="{C3380CC4-5D6E-409C-BE32-E72D297353CC}">
              <c16:uniqueId val="{00000001-2AD3-469E-BBAB-5403C3EE6478}"/>
            </c:ext>
          </c:extLst>
        </c:ser>
        <c:dLbls>
          <c:showLegendKey val="0"/>
          <c:showVal val="0"/>
          <c:showCatName val="0"/>
          <c:showSerName val="0"/>
          <c:showPercent val="0"/>
          <c:showBubbleSize val="0"/>
        </c:dLbls>
        <c:gapWidth val="150"/>
        <c:overlap val="100"/>
        <c:axId val="1145630127"/>
        <c:axId val="1145630607"/>
      </c:barChart>
      <c:catAx>
        <c:axId val="1145630127"/>
        <c:scaling>
          <c:orientation val="minMax"/>
        </c:scaling>
        <c:delete val="1"/>
        <c:axPos val="l"/>
        <c:majorTickMark val="none"/>
        <c:minorTickMark val="none"/>
        <c:tickLblPos val="nextTo"/>
        <c:crossAx val="1145630607"/>
        <c:crosses val="autoZero"/>
        <c:auto val="1"/>
        <c:lblAlgn val="ctr"/>
        <c:lblOffset val="100"/>
        <c:noMultiLvlLbl val="0"/>
      </c:catAx>
      <c:valAx>
        <c:axId val="1145630607"/>
        <c:scaling>
          <c:orientation val="minMax"/>
        </c:scaling>
        <c:delete val="1"/>
        <c:axPos val="b"/>
        <c:numFmt formatCode="0%" sourceLinked="1"/>
        <c:majorTickMark val="none"/>
        <c:minorTickMark val="none"/>
        <c:tickLblPos val="nextTo"/>
        <c:crossAx val="11456301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explosion val="3"/>
            <c:spPr>
              <a:solidFill>
                <a:srgbClr val="008DFF"/>
              </a:solidFill>
              <a:ln w="19050">
                <a:noFill/>
              </a:ln>
              <a:effectLst/>
            </c:spPr>
            <c:extLst>
              <c:ext xmlns:c16="http://schemas.microsoft.com/office/drawing/2014/chart" uri="{C3380CC4-5D6E-409C-BE32-E72D297353CC}">
                <c16:uniqueId val="{00000001-D385-48BC-A730-BE84C89CD487}"/>
              </c:ext>
            </c:extLst>
          </c:dPt>
          <c:dPt>
            <c:idx val="1"/>
            <c:bubble3D val="0"/>
            <c:spPr>
              <a:solidFill>
                <a:srgbClr val="1F1F1F"/>
              </a:solidFill>
              <a:ln w="19050">
                <a:noFill/>
              </a:ln>
              <a:effectLst/>
            </c:spPr>
            <c:extLst>
              <c:ext xmlns:c16="http://schemas.microsoft.com/office/drawing/2014/chart" uri="{C3380CC4-5D6E-409C-BE32-E72D297353CC}">
                <c16:uniqueId val="{00000003-D385-48BC-A730-BE84C89CD487}"/>
              </c:ext>
            </c:extLst>
          </c:dPt>
          <c:val>
            <c:numRef>
              <c:f>'pivot table'!$J$19:$K$19</c:f>
              <c:numCache>
                <c:formatCode>0%</c:formatCode>
                <c:ptCount val="2"/>
                <c:pt idx="0">
                  <c:v>0.52</c:v>
                </c:pt>
                <c:pt idx="1">
                  <c:v>0.48</c:v>
                </c:pt>
              </c:numCache>
            </c:numRef>
          </c:val>
          <c:extLst>
            <c:ext xmlns:c16="http://schemas.microsoft.com/office/drawing/2014/chart" uri="{C3380CC4-5D6E-409C-BE32-E72D297353CC}">
              <c16:uniqueId val="{00000004-D385-48BC-A730-BE84C89CD487}"/>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solidFill>
              <a:srgbClr val="008DFF"/>
            </a:solidFill>
          </c:spPr>
          <c:dPt>
            <c:idx val="0"/>
            <c:bubble3D val="0"/>
            <c:spPr>
              <a:solidFill>
                <a:schemeClr val="bg1"/>
              </a:solidFill>
              <a:ln w="19050">
                <a:noFill/>
              </a:ln>
              <a:effectLst/>
            </c:spPr>
            <c:extLst>
              <c:ext xmlns:c16="http://schemas.microsoft.com/office/drawing/2014/chart" uri="{C3380CC4-5D6E-409C-BE32-E72D297353CC}">
                <c16:uniqueId val="{00000001-9AB3-4A41-A92A-6A19944F5415}"/>
              </c:ext>
            </c:extLst>
          </c:dPt>
          <c:dPt>
            <c:idx val="1"/>
            <c:bubble3D val="0"/>
            <c:spPr>
              <a:solidFill>
                <a:srgbClr val="1F1F1F"/>
              </a:solidFill>
              <a:ln w="19050">
                <a:noFill/>
              </a:ln>
              <a:effectLst/>
            </c:spPr>
            <c:extLst>
              <c:ext xmlns:c16="http://schemas.microsoft.com/office/drawing/2014/chart" uri="{C3380CC4-5D6E-409C-BE32-E72D297353CC}">
                <c16:uniqueId val="{00000003-9AB3-4A41-A92A-6A19944F5415}"/>
              </c:ext>
            </c:extLst>
          </c:dPt>
          <c:val>
            <c:numRef>
              <c:f>'pivot table'!$J$20:$K$20</c:f>
              <c:numCache>
                <c:formatCode>0%</c:formatCode>
                <c:ptCount val="2"/>
                <c:pt idx="0">
                  <c:v>0.48</c:v>
                </c:pt>
                <c:pt idx="1">
                  <c:v>0.52</c:v>
                </c:pt>
              </c:numCache>
            </c:numRef>
          </c:val>
          <c:extLst>
            <c:ext xmlns:c16="http://schemas.microsoft.com/office/drawing/2014/chart" uri="{C3380CC4-5D6E-409C-BE32-E72D297353CC}">
              <c16:uniqueId val="{00000004-9AB3-4A41-A92A-6A19944F5415}"/>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663861764473356E-2"/>
          <c:y val="0.13440650345559876"/>
          <c:w val="0.88672276471053291"/>
          <c:h val="0.69328594342373884"/>
        </c:manualLayout>
      </c:layout>
      <c:barChart>
        <c:barDir val="col"/>
        <c:grouping val="clustered"/>
        <c:varyColors val="0"/>
        <c:ser>
          <c:idx val="0"/>
          <c:order val="0"/>
          <c:tx>
            <c:strRef>
              <c:f>'pivot table'!$W$13</c:f>
              <c:strCache>
                <c:ptCount val="1"/>
                <c:pt idx="0">
                  <c:v>Analyst</c:v>
                </c:pt>
              </c:strCache>
            </c:strRef>
          </c:tx>
          <c:spPr>
            <a:solidFill>
              <a:schemeClr val="bg1">
                <a:lumMod val="75000"/>
              </a:schemeClr>
            </a:solidFill>
            <a:ln>
              <a:noFill/>
            </a:ln>
            <a:effectLst/>
          </c:spPr>
          <c:invertIfNegative val="0"/>
          <c:val>
            <c:numRef>
              <c:f>'pivot table'!$Y$13</c:f>
              <c:numCache>
                <c:formatCode>General</c:formatCode>
                <c:ptCount val="1"/>
                <c:pt idx="0">
                  <c:v>28</c:v>
                </c:pt>
              </c:numCache>
            </c:numRef>
          </c:val>
          <c:extLst>
            <c:ext xmlns:c16="http://schemas.microsoft.com/office/drawing/2014/chart" uri="{C3380CC4-5D6E-409C-BE32-E72D297353CC}">
              <c16:uniqueId val="{00000000-26CB-4A3A-A7BF-CE55A923BB68}"/>
            </c:ext>
          </c:extLst>
        </c:ser>
        <c:ser>
          <c:idx val="1"/>
          <c:order val="1"/>
          <c:tx>
            <c:strRef>
              <c:f>'pivot table'!$W$14</c:f>
              <c:strCache>
                <c:ptCount val="1"/>
                <c:pt idx="0">
                  <c:v>Designer</c:v>
                </c:pt>
              </c:strCache>
            </c:strRef>
          </c:tx>
          <c:spPr>
            <a:solidFill>
              <a:schemeClr val="tx1">
                <a:lumMod val="50000"/>
                <a:lumOff val="50000"/>
              </a:schemeClr>
            </a:solidFill>
            <a:ln>
              <a:noFill/>
            </a:ln>
            <a:effectLst/>
          </c:spPr>
          <c:invertIfNegative val="0"/>
          <c:val>
            <c:numRef>
              <c:f>'pivot table'!$Y$14</c:f>
              <c:numCache>
                <c:formatCode>General</c:formatCode>
                <c:ptCount val="1"/>
                <c:pt idx="0">
                  <c:v>110</c:v>
                </c:pt>
              </c:numCache>
            </c:numRef>
          </c:val>
          <c:extLst>
            <c:ext xmlns:c16="http://schemas.microsoft.com/office/drawing/2014/chart" uri="{C3380CC4-5D6E-409C-BE32-E72D297353CC}">
              <c16:uniqueId val="{00000001-26CB-4A3A-A7BF-CE55A923BB68}"/>
            </c:ext>
          </c:extLst>
        </c:ser>
        <c:ser>
          <c:idx val="2"/>
          <c:order val="2"/>
          <c:tx>
            <c:strRef>
              <c:f>'pivot table'!$W$15</c:f>
              <c:strCache>
                <c:ptCount val="1"/>
                <c:pt idx="0">
                  <c:v>Developer</c:v>
                </c:pt>
              </c:strCache>
            </c:strRef>
          </c:tx>
          <c:spPr>
            <a:solidFill>
              <a:srgbClr val="002060"/>
            </a:solidFill>
            <a:ln>
              <a:noFill/>
            </a:ln>
            <a:effectLst/>
          </c:spPr>
          <c:invertIfNegative val="0"/>
          <c:val>
            <c:numRef>
              <c:f>'pivot table'!$Y$15</c:f>
              <c:numCache>
                <c:formatCode>General</c:formatCode>
                <c:ptCount val="1"/>
                <c:pt idx="0">
                  <c:v>104</c:v>
                </c:pt>
              </c:numCache>
            </c:numRef>
          </c:val>
          <c:extLst>
            <c:ext xmlns:c16="http://schemas.microsoft.com/office/drawing/2014/chart" uri="{C3380CC4-5D6E-409C-BE32-E72D297353CC}">
              <c16:uniqueId val="{00000002-26CB-4A3A-A7BF-CE55A923BB68}"/>
            </c:ext>
          </c:extLst>
        </c:ser>
        <c:ser>
          <c:idx val="3"/>
          <c:order val="3"/>
          <c:tx>
            <c:strRef>
              <c:f>'pivot table'!$W$16</c:f>
              <c:strCache>
                <c:ptCount val="1"/>
                <c:pt idx="0">
                  <c:v>HR Specialist</c:v>
                </c:pt>
              </c:strCache>
            </c:strRef>
          </c:tx>
          <c:spPr>
            <a:solidFill>
              <a:schemeClr val="accent1">
                <a:lumMod val="40000"/>
                <a:lumOff val="60000"/>
              </a:schemeClr>
            </a:solidFill>
            <a:ln>
              <a:noFill/>
            </a:ln>
            <a:effectLst/>
          </c:spPr>
          <c:invertIfNegative val="0"/>
          <c:val>
            <c:numRef>
              <c:f>'pivot table'!$Y$16</c:f>
              <c:numCache>
                <c:formatCode>General</c:formatCode>
                <c:ptCount val="1"/>
                <c:pt idx="0">
                  <c:v>123</c:v>
                </c:pt>
              </c:numCache>
            </c:numRef>
          </c:val>
          <c:extLst>
            <c:ext xmlns:c16="http://schemas.microsoft.com/office/drawing/2014/chart" uri="{C3380CC4-5D6E-409C-BE32-E72D297353CC}">
              <c16:uniqueId val="{00000003-26CB-4A3A-A7BF-CE55A923BB68}"/>
            </c:ext>
          </c:extLst>
        </c:ser>
        <c:ser>
          <c:idx val="4"/>
          <c:order val="4"/>
          <c:tx>
            <c:strRef>
              <c:f>'pivot table'!$W$17</c:f>
              <c:strCache>
                <c:ptCount val="1"/>
                <c:pt idx="0">
                  <c:v>Manager</c:v>
                </c:pt>
              </c:strCache>
            </c:strRef>
          </c:tx>
          <c:spPr>
            <a:solidFill>
              <a:srgbClr val="008DFF"/>
            </a:solidFill>
            <a:ln>
              <a:noFill/>
            </a:ln>
            <a:effectLst/>
          </c:spPr>
          <c:invertIfNegative val="0"/>
          <c:val>
            <c:numRef>
              <c:f>'pivot table'!$Y$17</c:f>
              <c:numCache>
                <c:formatCode>General</c:formatCode>
                <c:ptCount val="1"/>
                <c:pt idx="0">
                  <c:v>122</c:v>
                </c:pt>
              </c:numCache>
            </c:numRef>
          </c:val>
          <c:extLst>
            <c:ext xmlns:c16="http://schemas.microsoft.com/office/drawing/2014/chart" uri="{C3380CC4-5D6E-409C-BE32-E72D297353CC}">
              <c16:uniqueId val="{00000004-26CB-4A3A-A7BF-CE55A923BB68}"/>
            </c:ext>
          </c:extLst>
        </c:ser>
        <c:dLbls>
          <c:showLegendKey val="0"/>
          <c:showVal val="0"/>
          <c:showCatName val="0"/>
          <c:showSerName val="0"/>
          <c:showPercent val="0"/>
          <c:showBubbleSize val="0"/>
        </c:dLbls>
        <c:gapWidth val="219"/>
        <c:overlap val="-27"/>
        <c:axId val="1180764111"/>
        <c:axId val="1180755471"/>
      </c:barChart>
      <c:catAx>
        <c:axId val="1180764111"/>
        <c:scaling>
          <c:orientation val="minMax"/>
        </c:scaling>
        <c:delete val="1"/>
        <c:axPos val="b"/>
        <c:numFmt formatCode="General" sourceLinked="1"/>
        <c:majorTickMark val="none"/>
        <c:minorTickMark val="none"/>
        <c:tickLblPos val="nextTo"/>
        <c:crossAx val="1180755471"/>
        <c:crosses val="autoZero"/>
        <c:auto val="1"/>
        <c:lblAlgn val="ctr"/>
        <c:lblOffset val="100"/>
        <c:noMultiLvlLbl val="0"/>
      </c:catAx>
      <c:valAx>
        <c:axId val="1180755471"/>
        <c:scaling>
          <c:orientation val="minMax"/>
        </c:scaling>
        <c:delete val="1"/>
        <c:axPos val="l"/>
        <c:majorGridlines>
          <c:spPr>
            <a:ln w="9525" cap="flat" cmpd="sng" algn="ctr">
              <a:solidFill>
                <a:srgbClr val="008DFF">
                  <a:alpha val="39000"/>
                </a:srgbClr>
              </a:solidFill>
              <a:prstDash val="dashDot"/>
              <a:round/>
            </a:ln>
            <a:effectLst/>
          </c:spPr>
        </c:majorGridlines>
        <c:numFmt formatCode="General" sourceLinked="1"/>
        <c:majorTickMark val="none"/>
        <c:minorTickMark val="none"/>
        <c:tickLblPos val="nextTo"/>
        <c:crossAx val="1180764111"/>
        <c:crosses val="autoZero"/>
        <c:crossBetween val="between"/>
      </c:valAx>
      <c:spPr>
        <a:noFill/>
        <a:ln>
          <a:noFill/>
        </a:ln>
        <a:effectLst/>
      </c:spPr>
    </c:plotArea>
    <c:legend>
      <c:legendPos val="b"/>
      <c:layout>
        <c:manualLayout>
          <c:xMode val="edge"/>
          <c:yMode val="edge"/>
          <c:x val="5.5036762395525671E-2"/>
          <c:y val="0.83668871779801823"/>
          <c:w val="0.94496323760447432"/>
          <c:h val="0.1329280103861346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table.xlsx]pivot table!PivotTable15</c:name>
    <c:fmtId val="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8D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table'!$R$3</c:f>
              <c:strCache>
                <c:ptCount val="1"/>
                <c:pt idx="0">
                  <c:v>Total</c:v>
                </c:pt>
              </c:strCache>
            </c:strRef>
          </c:tx>
          <c:spPr>
            <a:solidFill>
              <a:srgbClr val="008DFF"/>
            </a:solidFill>
            <a:ln>
              <a:noFill/>
            </a:ln>
            <a:effectLst/>
          </c:spPr>
          <c:invertIfNegative val="0"/>
          <c:cat>
            <c:strRef>
              <c:f>'pivot table'!$Q$4:$Q$9</c:f>
              <c:strCache>
                <c:ptCount val="5"/>
                <c:pt idx="0">
                  <c:v>Central</c:v>
                </c:pt>
                <c:pt idx="1">
                  <c:v>East</c:v>
                </c:pt>
                <c:pt idx="2">
                  <c:v>North</c:v>
                </c:pt>
                <c:pt idx="3">
                  <c:v>South</c:v>
                </c:pt>
                <c:pt idx="4">
                  <c:v>West</c:v>
                </c:pt>
              </c:strCache>
            </c:strRef>
          </c:cat>
          <c:val>
            <c:numRef>
              <c:f>'pivot table'!$R$4:$R$9</c:f>
              <c:numCache>
                <c:formatCode>General</c:formatCode>
                <c:ptCount val="5"/>
                <c:pt idx="0">
                  <c:v>14</c:v>
                </c:pt>
                <c:pt idx="1">
                  <c:v>10</c:v>
                </c:pt>
                <c:pt idx="2">
                  <c:v>7</c:v>
                </c:pt>
                <c:pt idx="3">
                  <c:v>10</c:v>
                </c:pt>
                <c:pt idx="4">
                  <c:v>9</c:v>
                </c:pt>
              </c:numCache>
            </c:numRef>
          </c:val>
          <c:extLst>
            <c:ext xmlns:c16="http://schemas.microsoft.com/office/drawing/2014/chart" uri="{C3380CC4-5D6E-409C-BE32-E72D297353CC}">
              <c16:uniqueId val="{00000000-7026-40AD-816F-2B32B4F6F161}"/>
            </c:ext>
          </c:extLst>
        </c:ser>
        <c:dLbls>
          <c:showLegendKey val="0"/>
          <c:showVal val="0"/>
          <c:showCatName val="0"/>
          <c:showSerName val="0"/>
          <c:showPercent val="0"/>
          <c:showBubbleSize val="0"/>
        </c:dLbls>
        <c:gapWidth val="10"/>
        <c:overlap val="-10"/>
        <c:axId val="1145565807"/>
        <c:axId val="1145551407"/>
      </c:barChart>
      <c:catAx>
        <c:axId val="114556580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bg1">
                    <a:lumMod val="85000"/>
                  </a:schemeClr>
                </a:solidFill>
                <a:latin typeface="+mn-lt"/>
                <a:ea typeface="+mn-ea"/>
                <a:cs typeface="+mn-cs"/>
              </a:defRPr>
            </a:pPr>
            <a:endParaRPr lang="en-US"/>
          </a:p>
        </c:txPr>
        <c:crossAx val="1145551407"/>
        <c:crosses val="autoZero"/>
        <c:auto val="1"/>
        <c:lblAlgn val="ctr"/>
        <c:lblOffset val="100"/>
        <c:noMultiLvlLbl val="0"/>
      </c:catAx>
      <c:valAx>
        <c:axId val="1145551407"/>
        <c:scaling>
          <c:orientation val="minMax"/>
        </c:scaling>
        <c:delete val="1"/>
        <c:axPos val="b"/>
        <c:numFmt formatCode="General" sourceLinked="1"/>
        <c:majorTickMark val="out"/>
        <c:minorTickMark val="none"/>
        <c:tickLblPos val="nextTo"/>
        <c:crossAx val="11455658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6.xml"/><Relationship Id="rId13" Type="http://schemas.openxmlformats.org/officeDocument/2006/relationships/image" Target="../media/image4.png"/><Relationship Id="rId3" Type="http://schemas.openxmlformats.org/officeDocument/2006/relationships/chart" Target="../charts/chart3.xml"/><Relationship Id="rId7" Type="http://schemas.openxmlformats.org/officeDocument/2006/relationships/image" Target="../media/image2.png"/><Relationship Id="rId12" Type="http://schemas.openxmlformats.org/officeDocument/2006/relationships/image" Target="../media/image3.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png"/><Relationship Id="rId11" Type="http://schemas.openxmlformats.org/officeDocument/2006/relationships/chart" Target="../charts/chart9.xml"/><Relationship Id="rId5" Type="http://schemas.openxmlformats.org/officeDocument/2006/relationships/chart" Target="../charts/chart5.xml"/><Relationship Id="rId10" Type="http://schemas.openxmlformats.org/officeDocument/2006/relationships/chart" Target="../charts/chart8.xml"/><Relationship Id="rId4" Type="http://schemas.openxmlformats.org/officeDocument/2006/relationships/chart" Target="../charts/chart4.xml"/><Relationship Id="rId9"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48381</xdr:rowOff>
    </xdr:from>
    <xdr:to>
      <xdr:col>17</xdr:col>
      <xdr:colOff>217715</xdr:colOff>
      <xdr:row>39</xdr:row>
      <xdr:rowOff>25202</xdr:rowOff>
    </xdr:to>
    <xdr:sp macro="" textlink="">
      <xdr:nvSpPr>
        <xdr:cNvPr id="2" name="Rectangle: Rounded Corners 1">
          <a:extLst>
            <a:ext uri="{FF2B5EF4-FFF2-40B4-BE49-F238E27FC236}">
              <a16:creationId xmlns:a16="http://schemas.microsoft.com/office/drawing/2014/main" id="{F4A7E96B-D96C-4872-47A2-E033562E564C}"/>
            </a:ext>
          </a:extLst>
        </xdr:cNvPr>
        <xdr:cNvSpPr/>
      </xdr:nvSpPr>
      <xdr:spPr>
        <a:xfrm>
          <a:off x="0" y="48381"/>
          <a:ext cx="10498667" cy="6641297"/>
        </a:xfrm>
        <a:prstGeom prst="roundRect">
          <a:avLst>
            <a:gd name="adj" fmla="val 3400"/>
          </a:avLst>
        </a:prstGeom>
        <a:solidFill>
          <a:srgbClr val="1F1F1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154271</xdr:colOff>
      <xdr:row>26</xdr:row>
      <xdr:rowOff>10161</xdr:rowOff>
    </xdr:from>
    <xdr:to>
      <xdr:col>3</xdr:col>
      <xdr:colOff>233471</xdr:colOff>
      <xdr:row>38</xdr:row>
      <xdr:rowOff>39266</xdr:rowOff>
    </xdr:to>
    <xdr:sp macro="" textlink="">
      <xdr:nvSpPr>
        <xdr:cNvPr id="3" name="Rectangle: Rounded Corners 2">
          <a:extLst>
            <a:ext uri="{FF2B5EF4-FFF2-40B4-BE49-F238E27FC236}">
              <a16:creationId xmlns:a16="http://schemas.microsoft.com/office/drawing/2014/main" id="{0D534169-657C-90C4-E4DD-B8D978F65E92}"/>
            </a:ext>
          </a:extLst>
        </xdr:cNvPr>
        <xdr:cNvSpPr/>
      </xdr:nvSpPr>
      <xdr:spPr>
        <a:xfrm>
          <a:off x="154271" y="4473304"/>
          <a:ext cx="1893486" cy="2061105"/>
        </a:xfrm>
        <a:prstGeom prst="roundRect">
          <a:avLst>
            <a:gd name="adj" fmla="val 6667"/>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lang="en-US" sz="1800">
            <a:solidFill>
              <a:srgbClr val="008DFF"/>
            </a:solidFill>
            <a:effectLst/>
          </a:endParaRPr>
        </a:p>
        <a:p>
          <a:pPr algn="l"/>
          <a:endParaRPr lang="en-US" sz="1100"/>
        </a:p>
      </xdr:txBody>
    </xdr:sp>
    <xdr:clientData/>
  </xdr:twoCellAnchor>
  <xdr:twoCellAnchor>
    <xdr:from>
      <xdr:col>0</xdr:col>
      <xdr:colOff>169905</xdr:colOff>
      <xdr:row>6</xdr:row>
      <xdr:rowOff>99293</xdr:rowOff>
    </xdr:from>
    <xdr:to>
      <xdr:col>3</xdr:col>
      <xdr:colOff>249105</xdr:colOff>
      <xdr:row>25</xdr:row>
      <xdr:rowOff>30036</xdr:rowOff>
    </xdr:to>
    <xdr:sp macro="" textlink="">
      <xdr:nvSpPr>
        <xdr:cNvPr id="4" name="Rectangle: Rounded Corners 3">
          <a:extLst>
            <a:ext uri="{FF2B5EF4-FFF2-40B4-BE49-F238E27FC236}">
              <a16:creationId xmlns:a16="http://schemas.microsoft.com/office/drawing/2014/main" id="{5D2B6B6C-6E07-4835-85D4-4C3C2531210F}"/>
            </a:ext>
          </a:extLst>
        </xdr:cNvPr>
        <xdr:cNvSpPr/>
      </xdr:nvSpPr>
      <xdr:spPr>
        <a:xfrm>
          <a:off x="169905" y="1115293"/>
          <a:ext cx="1893486" cy="3208553"/>
        </a:xfrm>
        <a:prstGeom prst="roundRect">
          <a:avLst>
            <a:gd name="adj" fmla="val 6667"/>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376733</xdr:colOff>
      <xdr:row>22</xdr:row>
      <xdr:rowOff>134476</xdr:rowOff>
    </xdr:from>
    <xdr:to>
      <xdr:col>7</xdr:col>
      <xdr:colOff>386333</xdr:colOff>
      <xdr:row>38</xdr:row>
      <xdr:rowOff>71924</xdr:rowOff>
    </xdr:to>
    <xdr:sp macro="" textlink="">
      <xdr:nvSpPr>
        <xdr:cNvPr id="7" name="Rectangle: Rounded Corners 6">
          <a:extLst>
            <a:ext uri="{FF2B5EF4-FFF2-40B4-BE49-F238E27FC236}">
              <a16:creationId xmlns:a16="http://schemas.microsoft.com/office/drawing/2014/main" id="{4421A6C6-5081-2D87-DDF4-043B5A443587}"/>
            </a:ext>
          </a:extLst>
        </xdr:cNvPr>
        <xdr:cNvSpPr/>
      </xdr:nvSpPr>
      <xdr:spPr>
        <a:xfrm>
          <a:off x="2191019" y="3908190"/>
          <a:ext cx="2428647" cy="2658877"/>
        </a:xfrm>
        <a:prstGeom prst="roundRect">
          <a:avLst>
            <a:gd name="adj" fmla="val 6667"/>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a:solidFill>
                <a:srgbClr val="008DFF"/>
              </a:solidFill>
            </a:rPr>
            <a:t>Age</a:t>
          </a:r>
          <a:r>
            <a:rPr lang="en-US" sz="2000" b="1" baseline="0">
              <a:solidFill>
                <a:srgbClr val="008DFF"/>
              </a:solidFill>
            </a:rPr>
            <a:t> Range </a:t>
          </a:r>
          <a:endParaRPr lang="en-US" sz="900" b="1" baseline="0">
            <a:solidFill>
              <a:schemeClr val="tx1">
                <a:lumMod val="50000"/>
                <a:lumOff val="50000"/>
              </a:schemeClr>
            </a:solidFill>
          </a:endParaRPr>
        </a:p>
        <a:p>
          <a:pPr algn="l"/>
          <a:r>
            <a:rPr lang="en-US" sz="900">
              <a:solidFill>
                <a:schemeClr val="bg2">
                  <a:lumMod val="90000"/>
                </a:schemeClr>
              </a:solidFill>
            </a:rPr>
            <a:t>Number of employees according to age range</a:t>
          </a:r>
        </a:p>
        <a:p>
          <a:pPr algn="l"/>
          <a:r>
            <a:rPr lang="en-US" sz="900" b="1">
              <a:solidFill>
                <a:schemeClr val="bg2">
                  <a:lumMod val="90000"/>
                </a:schemeClr>
              </a:solidFill>
            </a:rPr>
            <a:t> 	female</a:t>
          </a:r>
          <a:r>
            <a:rPr lang="en-US" sz="900" b="1" baseline="0">
              <a:solidFill>
                <a:schemeClr val="bg2">
                  <a:lumMod val="90000"/>
                </a:schemeClr>
              </a:solidFill>
            </a:rPr>
            <a:t>                    male </a:t>
          </a:r>
          <a:endParaRPr lang="en-US" sz="900" b="1">
            <a:solidFill>
              <a:schemeClr val="bg2">
                <a:lumMod val="90000"/>
              </a:schemeClr>
            </a:solidFill>
          </a:endParaRPr>
        </a:p>
      </xdr:txBody>
    </xdr:sp>
    <xdr:clientData/>
  </xdr:twoCellAnchor>
  <xdr:twoCellAnchor>
    <xdr:from>
      <xdr:col>7</xdr:col>
      <xdr:colOff>463818</xdr:colOff>
      <xdr:row>22</xdr:row>
      <xdr:rowOff>123591</xdr:rowOff>
    </xdr:from>
    <xdr:to>
      <xdr:col>11</xdr:col>
      <xdr:colOff>473418</xdr:colOff>
      <xdr:row>38</xdr:row>
      <xdr:rowOff>61039</xdr:rowOff>
    </xdr:to>
    <xdr:sp macro="" textlink="">
      <xdr:nvSpPr>
        <xdr:cNvPr id="9" name="Rectangle: Rounded Corners 8">
          <a:extLst>
            <a:ext uri="{FF2B5EF4-FFF2-40B4-BE49-F238E27FC236}">
              <a16:creationId xmlns:a16="http://schemas.microsoft.com/office/drawing/2014/main" id="{0AB6BFB0-0D98-446B-BA1D-A209D4B6A0EF}"/>
            </a:ext>
          </a:extLst>
        </xdr:cNvPr>
        <xdr:cNvSpPr/>
      </xdr:nvSpPr>
      <xdr:spPr>
        <a:xfrm>
          <a:off x="4697151" y="3897305"/>
          <a:ext cx="2428648" cy="2658877"/>
        </a:xfrm>
        <a:prstGeom prst="roundRect">
          <a:avLst>
            <a:gd name="adj" fmla="val 6667"/>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i="0" baseline="0">
              <a:solidFill>
                <a:srgbClr val="008DFF"/>
              </a:solidFill>
              <a:effectLst/>
              <a:latin typeface="+mn-lt"/>
              <a:ea typeface="+mn-ea"/>
              <a:cs typeface="+mn-cs"/>
            </a:rPr>
            <a:t>salaries</a:t>
          </a:r>
          <a:endParaRPr lang="ar-EG" sz="2000" b="1" i="0" baseline="0">
            <a:solidFill>
              <a:srgbClr val="008DFF"/>
            </a:solidFill>
            <a:effectLst/>
            <a:latin typeface="+mn-lt"/>
            <a:ea typeface="+mn-ea"/>
            <a:cs typeface="+mn-cs"/>
          </a:endParaRPr>
        </a:p>
        <a:p>
          <a:pPr algn="l"/>
          <a:r>
            <a:rPr lang="en-US" sz="1100">
              <a:solidFill>
                <a:schemeClr val="bg2">
                  <a:lumMod val="90000"/>
                </a:schemeClr>
              </a:solidFill>
            </a:rPr>
            <a:t>salary</a:t>
          </a:r>
          <a:r>
            <a:rPr lang="en-US" sz="1100" baseline="0">
              <a:solidFill>
                <a:schemeClr val="bg2">
                  <a:lumMod val="90000"/>
                </a:schemeClr>
              </a:solidFill>
            </a:rPr>
            <a:t> amunt by job title</a:t>
          </a:r>
          <a:endParaRPr lang="en-US" sz="1100">
            <a:solidFill>
              <a:schemeClr val="bg2">
                <a:lumMod val="90000"/>
              </a:schemeClr>
            </a:solidFill>
          </a:endParaRPr>
        </a:p>
      </xdr:txBody>
    </xdr:sp>
    <xdr:clientData/>
  </xdr:twoCellAnchor>
  <xdr:twoCellAnchor>
    <xdr:from>
      <xdr:col>7</xdr:col>
      <xdr:colOff>507361</xdr:colOff>
      <xdr:row>6</xdr:row>
      <xdr:rowOff>115122</xdr:rowOff>
    </xdr:from>
    <xdr:to>
      <xdr:col>11</xdr:col>
      <xdr:colOff>516961</xdr:colOff>
      <xdr:row>22</xdr:row>
      <xdr:rowOff>4189</xdr:rowOff>
    </xdr:to>
    <xdr:sp macro="" textlink="">
      <xdr:nvSpPr>
        <xdr:cNvPr id="12" name="Rectangle: Rounded Corners 11">
          <a:extLst>
            <a:ext uri="{FF2B5EF4-FFF2-40B4-BE49-F238E27FC236}">
              <a16:creationId xmlns:a16="http://schemas.microsoft.com/office/drawing/2014/main" id="{9569D8ED-275C-4F09-8013-098A280E099C}"/>
            </a:ext>
          </a:extLst>
        </xdr:cNvPr>
        <xdr:cNvSpPr/>
      </xdr:nvSpPr>
      <xdr:spPr>
        <a:xfrm>
          <a:off x="4740694" y="1131122"/>
          <a:ext cx="2428648" cy="2646781"/>
        </a:xfrm>
        <a:prstGeom prst="roundRect">
          <a:avLst>
            <a:gd name="adj" fmla="val 6667"/>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365848</xdr:colOff>
      <xdr:row>6</xdr:row>
      <xdr:rowOff>121149</xdr:rowOff>
    </xdr:from>
    <xdr:to>
      <xdr:col>7</xdr:col>
      <xdr:colOff>375448</xdr:colOff>
      <xdr:row>13</xdr:row>
      <xdr:rowOff>161950</xdr:rowOff>
    </xdr:to>
    <xdr:sp macro="" textlink="">
      <xdr:nvSpPr>
        <xdr:cNvPr id="13" name="Rectangle: Rounded Corners 12">
          <a:extLst>
            <a:ext uri="{FF2B5EF4-FFF2-40B4-BE49-F238E27FC236}">
              <a16:creationId xmlns:a16="http://schemas.microsoft.com/office/drawing/2014/main" id="{28015726-4D31-44CE-B809-D634F2303447}"/>
            </a:ext>
          </a:extLst>
        </xdr:cNvPr>
        <xdr:cNvSpPr/>
      </xdr:nvSpPr>
      <xdr:spPr>
        <a:xfrm>
          <a:off x="2180134" y="1137149"/>
          <a:ext cx="2428647" cy="1226134"/>
        </a:xfrm>
        <a:prstGeom prst="roundRect">
          <a:avLst>
            <a:gd name="adj" fmla="val 6667"/>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387620</xdr:colOff>
      <xdr:row>14</xdr:row>
      <xdr:rowOff>142921</xdr:rowOff>
    </xdr:from>
    <xdr:to>
      <xdr:col>5</xdr:col>
      <xdr:colOff>356420</xdr:colOff>
      <xdr:row>21</xdr:row>
      <xdr:rowOff>159531</xdr:rowOff>
    </xdr:to>
    <xdr:sp macro="" textlink="">
      <xdr:nvSpPr>
        <xdr:cNvPr id="18" name="Rectangle: Rounded Corners 17">
          <a:extLst>
            <a:ext uri="{FF2B5EF4-FFF2-40B4-BE49-F238E27FC236}">
              <a16:creationId xmlns:a16="http://schemas.microsoft.com/office/drawing/2014/main" id="{8429AB42-8198-4CC1-91CC-7ED3E66DACB6}"/>
            </a:ext>
          </a:extLst>
        </xdr:cNvPr>
        <xdr:cNvSpPr/>
      </xdr:nvSpPr>
      <xdr:spPr>
        <a:xfrm>
          <a:off x="2201906" y="2513588"/>
          <a:ext cx="1178324" cy="1238229"/>
        </a:xfrm>
        <a:prstGeom prst="roundRect">
          <a:avLst>
            <a:gd name="adj" fmla="val 6667"/>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387619</xdr:colOff>
      <xdr:row>6</xdr:row>
      <xdr:rowOff>121149</xdr:rowOff>
    </xdr:from>
    <xdr:to>
      <xdr:col>7</xdr:col>
      <xdr:colOff>397219</xdr:colOff>
      <xdr:row>13</xdr:row>
      <xdr:rowOff>161950</xdr:rowOff>
    </xdr:to>
    <xdr:sp macro="" textlink="">
      <xdr:nvSpPr>
        <xdr:cNvPr id="19" name="Rectangle: Rounded Corners 18">
          <a:extLst>
            <a:ext uri="{FF2B5EF4-FFF2-40B4-BE49-F238E27FC236}">
              <a16:creationId xmlns:a16="http://schemas.microsoft.com/office/drawing/2014/main" id="{3E81359B-EAB4-5AC0-5CED-7754140ACE21}"/>
            </a:ext>
          </a:extLst>
        </xdr:cNvPr>
        <xdr:cNvSpPr/>
      </xdr:nvSpPr>
      <xdr:spPr>
        <a:xfrm>
          <a:off x="2201905" y="1137149"/>
          <a:ext cx="2428647" cy="1226134"/>
        </a:xfrm>
        <a:prstGeom prst="roundRect">
          <a:avLst>
            <a:gd name="adj" fmla="val 6667"/>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431162</xdr:colOff>
      <xdr:row>14</xdr:row>
      <xdr:rowOff>153807</xdr:rowOff>
    </xdr:from>
    <xdr:to>
      <xdr:col>7</xdr:col>
      <xdr:colOff>399962</xdr:colOff>
      <xdr:row>21</xdr:row>
      <xdr:rowOff>177673</xdr:rowOff>
    </xdr:to>
    <xdr:sp macro="" textlink="">
      <xdr:nvSpPr>
        <xdr:cNvPr id="21" name="Rectangle: Rounded Corners 20">
          <a:extLst>
            <a:ext uri="{FF2B5EF4-FFF2-40B4-BE49-F238E27FC236}">
              <a16:creationId xmlns:a16="http://schemas.microsoft.com/office/drawing/2014/main" id="{2F528AEE-1F96-4041-B1D3-9CCD30C2ED45}"/>
            </a:ext>
          </a:extLst>
        </xdr:cNvPr>
        <xdr:cNvSpPr/>
      </xdr:nvSpPr>
      <xdr:spPr>
        <a:xfrm>
          <a:off x="3454972" y="2524474"/>
          <a:ext cx="1178323" cy="1245485"/>
        </a:xfrm>
        <a:prstGeom prst="roundRect">
          <a:avLst>
            <a:gd name="adj" fmla="val 6667"/>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59266</xdr:colOff>
      <xdr:row>30</xdr:row>
      <xdr:rowOff>63781</xdr:rowOff>
    </xdr:from>
    <xdr:to>
      <xdr:col>14</xdr:col>
      <xdr:colOff>233437</xdr:colOff>
      <xdr:row>38</xdr:row>
      <xdr:rowOff>38409</xdr:rowOff>
    </xdr:to>
    <xdr:sp macro="" textlink="">
      <xdr:nvSpPr>
        <xdr:cNvPr id="27" name="Rectangle: Rounded Corners 26">
          <a:extLst>
            <a:ext uri="{FF2B5EF4-FFF2-40B4-BE49-F238E27FC236}">
              <a16:creationId xmlns:a16="http://schemas.microsoft.com/office/drawing/2014/main" id="{8C096124-88CB-41DC-A7CB-6DF26D36AF9D}"/>
            </a:ext>
          </a:extLst>
        </xdr:cNvPr>
        <xdr:cNvSpPr/>
      </xdr:nvSpPr>
      <xdr:spPr>
        <a:xfrm>
          <a:off x="7316409" y="5204257"/>
          <a:ext cx="1383695" cy="1329295"/>
        </a:xfrm>
        <a:prstGeom prst="roundRect">
          <a:avLst>
            <a:gd name="adj" fmla="val 6667"/>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333191</xdr:colOff>
      <xdr:row>30</xdr:row>
      <xdr:rowOff>63781</xdr:rowOff>
    </xdr:from>
    <xdr:to>
      <xdr:col>16</xdr:col>
      <xdr:colOff>507362</xdr:colOff>
      <xdr:row>38</xdr:row>
      <xdr:rowOff>38409</xdr:rowOff>
    </xdr:to>
    <xdr:sp macro="" textlink="">
      <xdr:nvSpPr>
        <xdr:cNvPr id="28" name="Rectangle: Rounded Corners 27">
          <a:extLst>
            <a:ext uri="{FF2B5EF4-FFF2-40B4-BE49-F238E27FC236}">
              <a16:creationId xmlns:a16="http://schemas.microsoft.com/office/drawing/2014/main" id="{CD695882-B3D8-4E17-B09E-C8E54D7ACAC5}"/>
            </a:ext>
          </a:extLst>
        </xdr:cNvPr>
        <xdr:cNvSpPr/>
      </xdr:nvSpPr>
      <xdr:spPr>
        <a:xfrm>
          <a:off x="8799858" y="5204257"/>
          <a:ext cx="1383694" cy="1329295"/>
        </a:xfrm>
        <a:prstGeom prst="roundRect">
          <a:avLst>
            <a:gd name="adj" fmla="val 6667"/>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344077</xdr:colOff>
      <xdr:row>22</xdr:row>
      <xdr:rowOff>168124</xdr:rowOff>
    </xdr:from>
    <xdr:to>
      <xdr:col>16</xdr:col>
      <xdr:colOff>518248</xdr:colOff>
      <xdr:row>30</xdr:row>
      <xdr:rowOff>1435</xdr:rowOff>
    </xdr:to>
    <xdr:sp macro="" textlink="">
      <xdr:nvSpPr>
        <xdr:cNvPr id="29" name="Rectangle: Rounded Corners 28">
          <a:extLst>
            <a:ext uri="{FF2B5EF4-FFF2-40B4-BE49-F238E27FC236}">
              <a16:creationId xmlns:a16="http://schemas.microsoft.com/office/drawing/2014/main" id="{CE839FC0-3B7D-45A6-9CB9-011C310FFB65}"/>
            </a:ext>
          </a:extLst>
        </xdr:cNvPr>
        <xdr:cNvSpPr/>
      </xdr:nvSpPr>
      <xdr:spPr>
        <a:xfrm>
          <a:off x="8810744" y="3941838"/>
          <a:ext cx="1383694" cy="1200073"/>
        </a:xfrm>
        <a:prstGeom prst="roundRect">
          <a:avLst>
            <a:gd name="adj" fmla="val 6667"/>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lvl="0" algn="l"/>
          <a:r>
            <a:rPr lang="en-US" sz="2400"/>
            <a:t> </a:t>
          </a:r>
          <a:endParaRPr lang="en-US" sz="2000"/>
        </a:p>
        <a:p>
          <a:r>
            <a:rPr lang="en-US" sz="1100">
              <a:solidFill>
                <a:schemeClr val="lt1"/>
              </a:solidFill>
              <a:effectLst/>
              <a:latin typeface="+mn-lt"/>
              <a:ea typeface="+mn-ea"/>
              <a:cs typeface="+mn-cs"/>
            </a:rPr>
            <a:t> </a:t>
          </a:r>
          <a:endParaRPr lang="en-US" sz="2400">
            <a:effectLst/>
          </a:endParaRPr>
        </a:p>
        <a:p>
          <a:pPr lvl="0" algn="l"/>
          <a:endParaRPr lang="en-US" sz="2400"/>
        </a:p>
      </xdr:txBody>
    </xdr:sp>
    <xdr:clientData/>
  </xdr:twoCellAnchor>
  <xdr:twoCellAnchor>
    <xdr:from>
      <xdr:col>7</xdr:col>
      <xdr:colOff>589609</xdr:colOff>
      <xdr:row>26</xdr:row>
      <xdr:rowOff>93350</xdr:rowOff>
    </xdr:from>
    <xdr:to>
      <xdr:col>10</xdr:col>
      <xdr:colOff>137246</xdr:colOff>
      <xdr:row>28</xdr:row>
      <xdr:rowOff>110064</xdr:rowOff>
    </xdr:to>
    <xdr:sp macro="" textlink="">
      <xdr:nvSpPr>
        <xdr:cNvPr id="54" name="Text Box 2">
          <a:extLst>
            <a:ext uri="{FF2B5EF4-FFF2-40B4-BE49-F238E27FC236}">
              <a16:creationId xmlns:a16="http://schemas.microsoft.com/office/drawing/2014/main" id="{05FE96E7-6DF3-404F-A7EA-B18AABD6086A}"/>
            </a:ext>
          </a:extLst>
        </xdr:cNvPr>
        <xdr:cNvSpPr txBox="1">
          <a:spLocks noChangeArrowheads="1"/>
        </xdr:cNvSpPr>
      </xdr:nvSpPr>
      <xdr:spPr bwMode="auto">
        <a:xfrm>
          <a:off x="4822942" y="4556493"/>
          <a:ext cx="1361923" cy="355381"/>
        </a:xfrm>
        <a:prstGeom prst="rect">
          <a:avLst/>
        </a:prstGeom>
        <a:solidFill>
          <a:srgbClr val="282828"/>
        </a:solidFill>
        <a:ln w="9525">
          <a:noFill/>
          <a:miter lim="800000"/>
          <a:headEnd/>
          <a:tailEnd/>
        </a:ln>
      </xdr:spPr>
      <xdr:txBody>
        <a:bodyPr vertOverflow="clip" wrap="square" lIns="27432" tIns="27432" rIns="0" bIns="0" anchor="t" upright="1"/>
        <a:lstStyle/>
        <a:p>
          <a:pPr algn="l" rtl="0">
            <a:defRPr sz="1000"/>
          </a:pPr>
          <a:r>
            <a:rPr lang="en-US" sz="1600" b="1" i="0" u="none" strike="noStrike" baseline="0">
              <a:solidFill>
                <a:schemeClr val="bg1"/>
              </a:solidFill>
              <a:latin typeface="Aptos Narrow"/>
            </a:rPr>
            <a:t>Total salaries </a:t>
          </a:r>
        </a:p>
      </xdr:txBody>
    </xdr:sp>
    <xdr:clientData/>
  </xdr:twoCellAnchor>
  <xdr:twoCellAnchor>
    <xdr:from>
      <xdr:col>7</xdr:col>
      <xdr:colOff>583077</xdr:colOff>
      <xdr:row>28</xdr:row>
      <xdr:rowOff>60694</xdr:rowOff>
    </xdr:from>
    <xdr:to>
      <xdr:col>10</xdr:col>
      <xdr:colOff>10973</xdr:colOff>
      <xdr:row>30</xdr:row>
      <xdr:rowOff>44752</xdr:rowOff>
    </xdr:to>
    <xdr:sp macro="" textlink="">
      <xdr:nvSpPr>
        <xdr:cNvPr id="55" name="Text Box 2">
          <a:extLst>
            <a:ext uri="{FF2B5EF4-FFF2-40B4-BE49-F238E27FC236}">
              <a16:creationId xmlns:a16="http://schemas.microsoft.com/office/drawing/2014/main" id="{67B77EF7-1D73-46FE-863C-DD91D8189651}"/>
            </a:ext>
          </a:extLst>
        </xdr:cNvPr>
        <xdr:cNvSpPr txBox="1">
          <a:spLocks noChangeArrowheads="1"/>
        </xdr:cNvSpPr>
      </xdr:nvSpPr>
      <xdr:spPr bwMode="auto">
        <a:xfrm>
          <a:off x="4816410" y="4862504"/>
          <a:ext cx="1242182" cy="322724"/>
        </a:xfrm>
        <a:prstGeom prst="rect">
          <a:avLst/>
        </a:prstGeom>
        <a:solidFill>
          <a:srgbClr val="282828"/>
        </a:solidFill>
        <a:ln w="9525">
          <a:noFill/>
          <a:miter lim="800000"/>
          <a:headEnd/>
          <a:tailEnd/>
        </a:ln>
      </xdr:spPr>
      <xdr:txBody>
        <a:bodyPr vertOverflow="clip" wrap="square" lIns="27432" tIns="27432" rIns="0" bIns="0" anchor="t" upright="1"/>
        <a:lstStyle/>
        <a:p>
          <a:pPr algn="l" rtl="0">
            <a:defRPr sz="1000"/>
          </a:pPr>
          <a:r>
            <a:rPr lang="en-US" sz="1600" b="1" i="0" u="none" strike="noStrike" baseline="0">
              <a:solidFill>
                <a:schemeClr val="bg1"/>
              </a:solidFill>
              <a:latin typeface="Aptos Narrow"/>
            </a:rPr>
            <a:t> Managers</a:t>
          </a:r>
        </a:p>
        <a:p>
          <a:pPr algn="l" rtl="0">
            <a:defRPr sz="1000"/>
          </a:pPr>
          <a:r>
            <a:rPr lang="en-US" sz="1400" b="1" i="0" u="none" strike="noStrike" baseline="0">
              <a:solidFill>
                <a:schemeClr val="bg1"/>
              </a:solidFill>
              <a:latin typeface="+mn-lt"/>
            </a:rPr>
            <a:t> </a:t>
          </a:r>
        </a:p>
      </xdr:txBody>
    </xdr:sp>
    <xdr:clientData/>
  </xdr:twoCellAnchor>
  <xdr:twoCellAnchor>
    <xdr:from>
      <xdr:col>7</xdr:col>
      <xdr:colOff>580899</xdr:colOff>
      <xdr:row>30</xdr:row>
      <xdr:rowOff>28039</xdr:rowOff>
    </xdr:from>
    <xdr:to>
      <xdr:col>10</xdr:col>
      <xdr:colOff>8795</xdr:colOff>
      <xdr:row>31</xdr:row>
      <xdr:rowOff>153610</xdr:rowOff>
    </xdr:to>
    <xdr:sp macro="" textlink="">
      <xdr:nvSpPr>
        <xdr:cNvPr id="56" name="Text Box 2">
          <a:extLst>
            <a:ext uri="{FF2B5EF4-FFF2-40B4-BE49-F238E27FC236}">
              <a16:creationId xmlns:a16="http://schemas.microsoft.com/office/drawing/2014/main" id="{6F1E499B-B703-49B0-813A-273B3F2A2124}"/>
            </a:ext>
          </a:extLst>
        </xdr:cNvPr>
        <xdr:cNvSpPr txBox="1">
          <a:spLocks noChangeArrowheads="1"/>
        </xdr:cNvSpPr>
      </xdr:nvSpPr>
      <xdr:spPr bwMode="auto">
        <a:xfrm>
          <a:off x="4814232" y="5168515"/>
          <a:ext cx="1242182" cy="294905"/>
        </a:xfrm>
        <a:prstGeom prst="rect">
          <a:avLst/>
        </a:prstGeom>
        <a:solidFill>
          <a:srgbClr val="282828"/>
        </a:solidFill>
        <a:ln w="9525">
          <a:noFill/>
          <a:miter lim="800000"/>
          <a:headEnd/>
          <a:tailEnd/>
        </a:ln>
      </xdr:spPr>
      <xdr:txBody>
        <a:bodyPr vertOverflow="clip" wrap="square" lIns="27432" tIns="27432" rIns="0" bIns="0" anchor="t" upright="1"/>
        <a:lstStyle/>
        <a:p>
          <a:pPr algn="l" rtl="0">
            <a:defRPr sz="1000"/>
          </a:pPr>
          <a:r>
            <a:rPr lang="en-US" sz="1600" b="1" i="0" u="none" strike="noStrike" baseline="0">
              <a:solidFill>
                <a:schemeClr val="bg1"/>
              </a:solidFill>
              <a:latin typeface="Aptos Narrow"/>
            </a:rPr>
            <a:t> </a:t>
          </a:r>
          <a:r>
            <a:rPr lang="en-US" sz="1600" b="1" i="0" u="none" strike="noStrike" baseline="0">
              <a:solidFill>
                <a:schemeClr val="bg1"/>
              </a:solidFill>
              <a:latin typeface="+mn-lt"/>
            </a:rPr>
            <a:t>HR specialists</a:t>
          </a:r>
        </a:p>
        <a:p>
          <a:pPr algn="l" rtl="0">
            <a:defRPr sz="1000"/>
          </a:pPr>
          <a:r>
            <a:rPr lang="en-US" sz="1400" b="1" i="0" u="none" strike="noStrike" baseline="0">
              <a:solidFill>
                <a:schemeClr val="bg1"/>
              </a:solidFill>
              <a:latin typeface="+mn-lt"/>
            </a:rPr>
            <a:t> </a:t>
          </a:r>
        </a:p>
      </xdr:txBody>
    </xdr:sp>
    <xdr:clientData/>
  </xdr:twoCellAnchor>
  <xdr:twoCellAnchor>
    <xdr:from>
      <xdr:col>7</xdr:col>
      <xdr:colOff>567837</xdr:colOff>
      <xdr:row>31</xdr:row>
      <xdr:rowOff>136896</xdr:rowOff>
    </xdr:from>
    <xdr:to>
      <xdr:col>9</xdr:col>
      <xdr:colOff>600495</xdr:colOff>
      <xdr:row>33</xdr:row>
      <xdr:rowOff>33868</xdr:rowOff>
    </xdr:to>
    <xdr:sp macro="" textlink="">
      <xdr:nvSpPr>
        <xdr:cNvPr id="57" name="Text Box 2">
          <a:extLst>
            <a:ext uri="{FF2B5EF4-FFF2-40B4-BE49-F238E27FC236}">
              <a16:creationId xmlns:a16="http://schemas.microsoft.com/office/drawing/2014/main" id="{598A5888-759B-4BAD-AFB0-AFF03B1601B2}"/>
            </a:ext>
          </a:extLst>
        </xdr:cNvPr>
        <xdr:cNvSpPr txBox="1">
          <a:spLocks noChangeArrowheads="1"/>
        </xdr:cNvSpPr>
      </xdr:nvSpPr>
      <xdr:spPr bwMode="auto">
        <a:xfrm>
          <a:off x="4801170" y="5446706"/>
          <a:ext cx="1242182" cy="235638"/>
        </a:xfrm>
        <a:prstGeom prst="rect">
          <a:avLst/>
        </a:prstGeom>
        <a:solidFill>
          <a:srgbClr val="282828"/>
        </a:solidFill>
        <a:ln w="9525">
          <a:noFill/>
          <a:miter lim="800000"/>
          <a:headEnd/>
          <a:tailEnd/>
        </a:ln>
      </xdr:spPr>
      <xdr:txBody>
        <a:bodyPr vertOverflow="clip" wrap="square" lIns="27432" tIns="27432" rIns="0" bIns="0" anchor="t" upright="1"/>
        <a:lstStyle/>
        <a:p>
          <a:pPr algn="l" rtl="0">
            <a:defRPr sz="1000"/>
          </a:pPr>
          <a:r>
            <a:rPr lang="en-US" sz="1600" b="1" i="0" u="none" strike="noStrike" baseline="0">
              <a:solidFill>
                <a:schemeClr val="bg1"/>
              </a:solidFill>
              <a:latin typeface="Aptos Narrow"/>
            </a:rPr>
            <a:t> </a:t>
          </a:r>
          <a:r>
            <a:rPr lang="en-US" sz="1600" b="1" i="0" u="none" strike="noStrike" baseline="0">
              <a:solidFill>
                <a:schemeClr val="bg1"/>
              </a:solidFill>
              <a:latin typeface="+mn-lt"/>
            </a:rPr>
            <a:t>Developers</a:t>
          </a:r>
        </a:p>
      </xdr:txBody>
    </xdr:sp>
    <xdr:clientData/>
  </xdr:twoCellAnchor>
  <xdr:twoCellAnchor>
    <xdr:from>
      <xdr:col>7</xdr:col>
      <xdr:colOff>598316</xdr:colOff>
      <xdr:row>33</xdr:row>
      <xdr:rowOff>115122</xdr:rowOff>
    </xdr:from>
    <xdr:to>
      <xdr:col>10</xdr:col>
      <xdr:colOff>26212</xdr:colOff>
      <xdr:row>35</xdr:row>
      <xdr:rowOff>44749</xdr:rowOff>
    </xdr:to>
    <xdr:sp macro="" textlink="">
      <xdr:nvSpPr>
        <xdr:cNvPr id="58" name="Text Box 2">
          <a:extLst>
            <a:ext uri="{FF2B5EF4-FFF2-40B4-BE49-F238E27FC236}">
              <a16:creationId xmlns:a16="http://schemas.microsoft.com/office/drawing/2014/main" id="{DB86F6BD-DFF2-4207-898A-3F622BA368C3}"/>
            </a:ext>
          </a:extLst>
        </xdr:cNvPr>
        <xdr:cNvSpPr txBox="1">
          <a:spLocks noChangeArrowheads="1"/>
        </xdr:cNvSpPr>
      </xdr:nvSpPr>
      <xdr:spPr bwMode="auto">
        <a:xfrm>
          <a:off x="4831649" y="5763598"/>
          <a:ext cx="1242182" cy="268294"/>
        </a:xfrm>
        <a:prstGeom prst="rect">
          <a:avLst/>
        </a:prstGeom>
        <a:solidFill>
          <a:srgbClr val="282828"/>
        </a:solidFill>
        <a:ln w="9525">
          <a:noFill/>
          <a:miter lim="800000"/>
          <a:headEnd/>
          <a:tailEnd/>
        </a:ln>
      </xdr:spPr>
      <xdr:txBody>
        <a:bodyPr vertOverflow="clip" wrap="square" lIns="27432" tIns="27432" rIns="0" bIns="0" anchor="t" upright="1"/>
        <a:lstStyle/>
        <a:p>
          <a:pPr algn="l" rtl="0">
            <a:defRPr sz="1000"/>
          </a:pPr>
          <a:r>
            <a:rPr lang="en-US" sz="1600" b="1" i="0" u="none" strike="noStrike" baseline="0">
              <a:solidFill>
                <a:schemeClr val="bg1"/>
              </a:solidFill>
              <a:latin typeface="Aptos Narrow"/>
            </a:rPr>
            <a:t> </a:t>
          </a:r>
          <a:r>
            <a:rPr lang="en-US" sz="1600" b="1" i="0" u="none" strike="noStrike" baseline="0">
              <a:solidFill>
                <a:schemeClr val="bg1"/>
              </a:solidFill>
              <a:latin typeface="+mn-lt"/>
            </a:rPr>
            <a:t>Designers</a:t>
          </a:r>
        </a:p>
        <a:p>
          <a:pPr algn="l" rtl="0">
            <a:defRPr sz="1000"/>
          </a:pPr>
          <a:r>
            <a:rPr lang="en-US" sz="1400" b="1" i="0" u="none" strike="noStrike" baseline="0">
              <a:solidFill>
                <a:schemeClr val="bg1"/>
              </a:solidFill>
              <a:latin typeface="+mn-lt"/>
            </a:rPr>
            <a:t> </a:t>
          </a:r>
        </a:p>
      </xdr:txBody>
    </xdr:sp>
    <xdr:clientData/>
  </xdr:twoCellAnchor>
  <xdr:twoCellAnchor>
    <xdr:from>
      <xdr:col>7</xdr:col>
      <xdr:colOff>585253</xdr:colOff>
      <xdr:row>35</xdr:row>
      <xdr:rowOff>38923</xdr:rowOff>
    </xdr:from>
    <xdr:to>
      <xdr:col>10</xdr:col>
      <xdr:colOff>13149</xdr:colOff>
      <xdr:row>37</xdr:row>
      <xdr:rowOff>16931</xdr:rowOff>
    </xdr:to>
    <xdr:sp macro="" textlink="">
      <xdr:nvSpPr>
        <xdr:cNvPr id="59" name="Text Box 2">
          <a:extLst>
            <a:ext uri="{FF2B5EF4-FFF2-40B4-BE49-F238E27FC236}">
              <a16:creationId xmlns:a16="http://schemas.microsoft.com/office/drawing/2014/main" id="{ACE9BEB8-A20D-4AAF-B714-2381731F5D0C}"/>
            </a:ext>
          </a:extLst>
        </xdr:cNvPr>
        <xdr:cNvSpPr txBox="1">
          <a:spLocks noChangeArrowheads="1"/>
        </xdr:cNvSpPr>
      </xdr:nvSpPr>
      <xdr:spPr bwMode="auto">
        <a:xfrm>
          <a:off x="4818586" y="6026066"/>
          <a:ext cx="1242182" cy="316675"/>
        </a:xfrm>
        <a:prstGeom prst="rect">
          <a:avLst/>
        </a:prstGeom>
        <a:solidFill>
          <a:srgbClr val="282828"/>
        </a:solidFill>
        <a:ln w="9525">
          <a:noFill/>
          <a:miter lim="800000"/>
          <a:headEnd/>
          <a:tailEnd/>
        </a:ln>
      </xdr:spPr>
      <xdr:txBody>
        <a:bodyPr vertOverflow="clip" wrap="square" lIns="27432" tIns="27432" rIns="0" bIns="0" anchor="t" upright="1"/>
        <a:lstStyle/>
        <a:p>
          <a:pPr algn="l" rtl="0">
            <a:defRPr sz="1000"/>
          </a:pPr>
          <a:r>
            <a:rPr lang="en-US" sz="1400" b="1" i="0" u="none" strike="noStrike" baseline="0">
              <a:solidFill>
                <a:schemeClr val="bg1"/>
              </a:solidFill>
              <a:latin typeface="Aptos Narrow"/>
            </a:rPr>
            <a:t> </a:t>
          </a:r>
          <a:r>
            <a:rPr lang="en-US" sz="1600" b="1" i="0" u="none" strike="noStrike" baseline="0">
              <a:solidFill>
                <a:schemeClr val="bg1"/>
              </a:solidFill>
              <a:latin typeface="+mn-lt"/>
            </a:rPr>
            <a:t>Analysts</a:t>
          </a:r>
          <a:endParaRPr lang="en-US" sz="1400" b="1" i="0" u="none" strike="noStrike" baseline="0">
            <a:solidFill>
              <a:schemeClr val="bg1"/>
            </a:solidFill>
            <a:latin typeface="+mn-lt"/>
          </a:endParaRPr>
        </a:p>
      </xdr:txBody>
    </xdr:sp>
    <xdr:clientData/>
  </xdr:twoCellAnchor>
  <xdr:twoCellAnchor>
    <xdr:from>
      <xdr:col>10</xdr:col>
      <xdr:colOff>4838</xdr:colOff>
      <xdr:row>35</xdr:row>
      <xdr:rowOff>88292</xdr:rowOff>
    </xdr:from>
    <xdr:to>
      <xdr:col>11</xdr:col>
      <xdr:colOff>418496</xdr:colOff>
      <xdr:row>37</xdr:row>
      <xdr:rowOff>12094</xdr:rowOff>
    </xdr:to>
    <xdr:sp macro="" textlink="">
      <xdr:nvSpPr>
        <xdr:cNvPr id="1057" name="Rectangle: Rounded Corners 1056">
          <a:extLst>
            <a:ext uri="{FF2B5EF4-FFF2-40B4-BE49-F238E27FC236}">
              <a16:creationId xmlns:a16="http://schemas.microsoft.com/office/drawing/2014/main" id="{C69149B6-CF8B-14EB-3FE6-77EEB4DD047D}"/>
            </a:ext>
          </a:extLst>
        </xdr:cNvPr>
        <xdr:cNvSpPr/>
      </xdr:nvSpPr>
      <xdr:spPr>
        <a:xfrm>
          <a:off x="6052457" y="6075435"/>
          <a:ext cx="1018420" cy="262469"/>
        </a:xfrm>
        <a:prstGeom prst="roundRect">
          <a:avLst/>
        </a:prstGeom>
        <a:solidFill>
          <a:srgbClr val="008D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198205</xdr:colOff>
      <xdr:row>35</xdr:row>
      <xdr:rowOff>99186</xdr:rowOff>
    </xdr:from>
    <xdr:to>
      <xdr:col>11</xdr:col>
      <xdr:colOff>385838</xdr:colOff>
      <xdr:row>37</xdr:row>
      <xdr:rowOff>55643</xdr:rowOff>
    </xdr:to>
    <xdr:sp macro="" textlink="'pivot table'!F11">
      <xdr:nvSpPr>
        <xdr:cNvPr id="1030" name="Text Box 2">
          <a:extLst>
            <a:ext uri="{FF2B5EF4-FFF2-40B4-BE49-F238E27FC236}">
              <a16:creationId xmlns:a16="http://schemas.microsoft.com/office/drawing/2014/main" id="{E3345B54-A576-43F3-B08D-6AE3FA8FCF91}"/>
            </a:ext>
          </a:extLst>
        </xdr:cNvPr>
        <xdr:cNvSpPr txBox="1">
          <a:spLocks noChangeArrowheads="1"/>
        </xdr:cNvSpPr>
      </xdr:nvSpPr>
      <xdr:spPr bwMode="auto">
        <a:xfrm>
          <a:off x="6245824" y="6086329"/>
          <a:ext cx="792395" cy="295124"/>
        </a:xfrm>
        <a:prstGeom prst="rect">
          <a:avLst/>
        </a:prstGeom>
        <a:noFill/>
        <a:ln w="9525">
          <a:noFill/>
          <a:miter lim="800000"/>
          <a:headEnd/>
          <a:tailEnd/>
        </a:ln>
      </xdr:spPr>
      <xdr:txBody>
        <a:bodyPr vertOverflow="clip" wrap="square" lIns="27432" tIns="27432" rIns="0" bIns="0" anchor="t" upright="1"/>
        <a:lstStyle/>
        <a:p>
          <a:pPr algn="l" rtl="0">
            <a:defRPr sz="1000"/>
          </a:pPr>
          <a:fld id="{DC555714-E5C3-49A1-8246-76EBD5F91E9B}" type="TxLink">
            <a:rPr lang="en-US" sz="1400" b="1" i="0" u="none" strike="noStrike" baseline="0">
              <a:solidFill>
                <a:schemeClr val="bg1"/>
              </a:solidFill>
              <a:latin typeface="Aptos Narrow"/>
            </a:rPr>
            <a:t>167041</a:t>
          </a:fld>
          <a:endParaRPr lang="en-US" sz="1400" b="1" i="0" u="none" strike="noStrike" baseline="0">
            <a:solidFill>
              <a:schemeClr val="bg1"/>
            </a:solidFill>
            <a:latin typeface="+mn-lt"/>
          </a:endParaRPr>
        </a:p>
      </xdr:txBody>
    </xdr:sp>
    <xdr:clientData/>
  </xdr:twoCellAnchor>
  <xdr:twoCellAnchor>
    <xdr:from>
      <xdr:col>10</xdr:col>
      <xdr:colOff>4838</xdr:colOff>
      <xdr:row>26</xdr:row>
      <xdr:rowOff>136893</xdr:rowOff>
    </xdr:from>
    <xdr:to>
      <xdr:col>11</xdr:col>
      <xdr:colOff>418496</xdr:colOff>
      <xdr:row>28</xdr:row>
      <xdr:rowOff>45931</xdr:rowOff>
    </xdr:to>
    <xdr:sp macro="" textlink="">
      <xdr:nvSpPr>
        <xdr:cNvPr id="1063" name="Rectangle: Rounded Corners 1062">
          <a:extLst>
            <a:ext uri="{FF2B5EF4-FFF2-40B4-BE49-F238E27FC236}">
              <a16:creationId xmlns:a16="http://schemas.microsoft.com/office/drawing/2014/main" id="{268BF593-A607-48CD-86B0-F577F21D6CB3}"/>
            </a:ext>
          </a:extLst>
        </xdr:cNvPr>
        <xdr:cNvSpPr/>
      </xdr:nvSpPr>
      <xdr:spPr>
        <a:xfrm>
          <a:off x="6052457" y="4600036"/>
          <a:ext cx="1018420" cy="247705"/>
        </a:xfrm>
        <a:prstGeom prst="roundRect">
          <a:avLst/>
        </a:prstGeom>
        <a:solidFill>
          <a:srgbClr val="005FD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143774</xdr:colOff>
      <xdr:row>26</xdr:row>
      <xdr:rowOff>136895</xdr:rowOff>
    </xdr:from>
    <xdr:to>
      <xdr:col>11</xdr:col>
      <xdr:colOff>298750</xdr:colOff>
      <xdr:row>28</xdr:row>
      <xdr:rowOff>153609</xdr:rowOff>
    </xdr:to>
    <xdr:sp macro="" textlink="'pivot table'!F16">
      <xdr:nvSpPr>
        <xdr:cNvPr id="61" name="Text Box 2">
          <a:extLst>
            <a:ext uri="{FF2B5EF4-FFF2-40B4-BE49-F238E27FC236}">
              <a16:creationId xmlns:a16="http://schemas.microsoft.com/office/drawing/2014/main" id="{B6E25086-36F0-41B8-89D6-B16F76EDCDC1}"/>
            </a:ext>
          </a:extLst>
        </xdr:cNvPr>
        <xdr:cNvSpPr txBox="1">
          <a:spLocks noChangeArrowheads="1"/>
        </xdr:cNvSpPr>
      </xdr:nvSpPr>
      <xdr:spPr bwMode="auto">
        <a:xfrm>
          <a:off x="6191393" y="4600038"/>
          <a:ext cx="759738" cy="355381"/>
        </a:xfrm>
        <a:prstGeom prst="rect">
          <a:avLst/>
        </a:prstGeom>
        <a:noFill/>
        <a:ln w="9525">
          <a:noFill/>
          <a:miter lim="800000"/>
          <a:headEnd/>
          <a:tailEnd/>
        </a:ln>
      </xdr:spPr>
      <xdr:txBody>
        <a:bodyPr vertOverflow="clip" wrap="square" lIns="27432" tIns="27432" rIns="0" bIns="0" anchor="t" upright="1"/>
        <a:lstStyle/>
        <a:p>
          <a:pPr algn="l" rtl="0">
            <a:defRPr sz="1000"/>
          </a:pPr>
          <a:fld id="{3B3BE4C7-7CC3-4958-B9AA-68719FB81304}" type="TxLink">
            <a:rPr lang="en-US" sz="1400" b="1" i="0" u="none" strike="noStrike" baseline="0">
              <a:solidFill>
                <a:schemeClr val="bg1"/>
              </a:solidFill>
              <a:latin typeface="Aptos Narrow"/>
            </a:rPr>
            <a:t>3104913</a:t>
          </a:fld>
          <a:endParaRPr lang="en-US" sz="1600" b="1" i="0" u="none" strike="noStrike" baseline="0">
            <a:solidFill>
              <a:schemeClr val="bg1"/>
            </a:solidFill>
            <a:latin typeface="Aptos Narrow"/>
          </a:endParaRPr>
        </a:p>
      </xdr:txBody>
    </xdr:sp>
    <xdr:clientData/>
  </xdr:twoCellAnchor>
  <xdr:twoCellAnchor>
    <xdr:from>
      <xdr:col>10</xdr:col>
      <xdr:colOff>4838</xdr:colOff>
      <xdr:row>28</xdr:row>
      <xdr:rowOff>92338</xdr:rowOff>
    </xdr:from>
    <xdr:to>
      <xdr:col>11</xdr:col>
      <xdr:colOff>418496</xdr:colOff>
      <xdr:row>30</xdr:row>
      <xdr:rowOff>6214</xdr:rowOff>
    </xdr:to>
    <xdr:sp macro="" textlink="">
      <xdr:nvSpPr>
        <xdr:cNvPr id="1062" name="Rectangle: Rounded Corners 1061">
          <a:extLst>
            <a:ext uri="{FF2B5EF4-FFF2-40B4-BE49-F238E27FC236}">
              <a16:creationId xmlns:a16="http://schemas.microsoft.com/office/drawing/2014/main" id="{A422F57B-4BA2-42B5-841E-22FF1F75521B}"/>
            </a:ext>
          </a:extLst>
        </xdr:cNvPr>
        <xdr:cNvSpPr/>
      </xdr:nvSpPr>
      <xdr:spPr>
        <a:xfrm>
          <a:off x="6052457" y="4894148"/>
          <a:ext cx="1018420" cy="252542"/>
        </a:xfrm>
        <a:prstGeom prst="roundRect">
          <a:avLst/>
        </a:prstGeom>
        <a:solidFill>
          <a:srgbClr val="008D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198203</xdr:colOff>
      <xdr:row>28</xdr:row>
      <xdr:rowOff>82468</xdr:rowOff>
    </xdr:from>
    <xdr:to>
      <xdr:col>11</xdr:col>
      <xdr:colOff>440265</xdr:colOff>
      <xdr:row>30</xdr:row>
      <xdr:rowOff>99183</xdr:rowOff>
    </xdr:to>
    <xdr:sp macro="" textlink="'pivot table'!F15">
      <xdr:nvSpPr>
        <xdr:cNvPr id="62" name="Text Box 2">
          <a:extLst>
            <a:ext uri="{FF2B5EF4-FFF2-40B4-BE49-F238E27FC236}">
              <a16:creationId xmlns:a16="http://schemas.microsoft.com/office/drawing/2014/main" id="{44AB7FCB-1821-4F64-9F6A-07A6D0A3AF6B}"/>
            </a:ext>
          </a:extLst>
        </xdr:cNvPr>
        <xdr:cNvSpPr txBox="1">
          <a:spLocks noChangeArrowheads="1"/>
        </xdr:cNvSpPr>
      </xdr:nvSpPr>
      <xdr:spPr bwMode="auto">
        <a:xfrm>
          <a:off x="6245822" y="4884278"/>
          <a:ext cx="846824" cy="355381"/>
        </a:xfrm>
        <a:prstGeom prst="rect">
          <a:avLst/>
        </a:prstGeom>
        <a:noFill/>
        <a:ln w="9525">
          <a:noFill/>
          <a:miter lim="800000"/>
          <a:headEnd/>
          <a:tailEnd/>
        </a:ln>
      </xdr:spPr>
      <xdr:txBody>
        <a:bodyPr vertOverflow="clip" wrap="square" lIns="27432" tIns="27432" rIns="0" bIns="0" anchor="t" upright="1"/>
        <a:lstStyle/>
        <a:p>
          <a:pPr algn="l" rtl="0">
            <a:defRPr sz="1000"/>
          </a:pPr>
          <a:fld id="{96BDFFF1-1AED-41EC-BB9A-094C363AF6BD}" type="TxLink">
            <a:rPr lang="en-US" sz="1400" b="1" i="0" u="none" strike="noStrike" baseline="0">
              <a:solidFill>
                <a:schemeClr val="bg1"/>
              </a:solidFill>
              <a:latin typeface="Aptos Narrow"/>
            </a:rPr>
            <a:t>731170</a:t>
          </a:fld>
          <a:endParaRPr lang="en-US" sz="1400" b="1" i="0" u="none" strike="noStrike" baseline="0">
            <a:solidFill>
              <a:schemeClr val="bg1"/>
            </a:solidFill>
            <a:latin typeface="+mn-lt"/>
          </a:endParaRPr>
        </a:p>
      </xdr:txBody>
    </xdr:sp>
    <xdr:clientData/>
  </xdr:twoCellAnchor>
  <xdr:twoCellAnchor>
    <xdr:from>
      <xdr:col>10</xdr:col>
      <xdr:colOff>4838</xdr:colOff>
      <xdr:row>30</xdr:row>
      <xdr:rowOff>58670</xdr:rowOff>
    </xdr:from>
    <xdr:to>
      <xdr:col>11</xdr:col>
      <xdr:colOff>418496</xdr:colOff>
      <xdr:row>31</xdr:row>
      <xdr:rowOff>141879</xdr:rowOff>
    </xdr:to>
    <xdr:sp macro="" textlink="">
      <xdr:nvSpPr>
        <xdr:cNvPr id="1061" name="Rectangle: Rounded Corners 1060">
          <a:extLst>
            <a:ext uri="{FF2B5EF4-FFF2-40B4-BE49-F238E27FC236}">
              <a16:creationId xmlns:a16="http://schemas.microsoft.com/office/drawing/2014/main" id="{F5C27F98-9F90-4E72-BAE2-714FDC5A37D0}"/>
            </a:ext>
          </a:extLst>
        </xdr:cNvPr>
        <xdr:cNvSpPr/>
      </xdr:nvSpPr>
      <xdr:spPr>
        <a:xfrm>
          <a:off x="6052457" y="5199146"/>
          <a:ext cx="1018420" cy="252543"/>
        </a:xfrm>
        <a:prstGeom prst="roundRect">
          <a:avLst/>
        </a:prstGeom>
        <a:solidFill>
          <a:srgbClr val="008D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209092</xdr:colOff>
      <xdr:row>30</xdr:row>
      <xdr:rowOff>71587</xdr:rowOff>
    </xdr:from>
    <xdr:to>
      <xdr:col>11</xdr:col>
      <xdr:colOff>167934</xdr:colOff>
      <xdr:row>32</xdr:row>
      <xdr:rowOff>35474</xdr:rowOff>
    </xdr:to>
    <xdr:sp macro="" textlink="'pivot table'!F14">
      <xdr:nvSpPr>
        <xdr:cNvPr id="63" name="Text Box 2">
          <a:extLst>
            <a:ext uri="{FF2B5EF4-FFF2-40B4-BE49-F238E27FC236}">
              <a16:creationId xmlns:a16="http://schemas.microsoft.com/office/drawing/2014/main" id="{08BFE8BA-B3E7-4B17-9FE6-ED0BD0193424}"/>
            </a:ext>
          </a:extLst>
        </xdr:cNvPr>
        <xdr:cNvSpPr txBox="1">
          <a:spLocks noChangeArrowheads="1"/>
        </xdr:cNvSpPr>
      </xdr:nvSpPr>
      <xdr:spPr bwMode="auto">
        <a:xfrm>
          <a:off x="6256711" y="5212063"/>
          <a:ext cx="563604" cy="302554"/>
        </a:xfrm>
        <a:prstGeom prst="rect">
          <a:avLst/>
        </a:prstGeom>
        <a:noFill/>
        <a:ln w="9525">
          <a:noFill/>
          <a:miter lim="800000"/>
          <a:headEnd/>
          <a:tailEnd/>
        </a:ln>
      </xdr:spPr>
      <xdr:txBody>
        <a:bodyPr vertOverflow="clip" wrap="square" lIns="27432" tIns="27432" rIns="0" bIns="0" anchor="t" upright="1"/>
        <a:lstStyle/>
        <a:p>
          <a:pPr algn="l" rtl="0">
            <a:defRPr sz="1000"/>
          </a:pPr>
          <a:fld id="{D6100272-CA2C-4134-896B-AF0A073DCD16}" type="TxLink">
            <a:rPr lang="en-US" sz="1400" b="1" i="0" u="none" strike="noStrike" baseline="0">
              <a:solidFill>
                <a:schemeClr val="bg1"/>
              </a:solidFill>
              <a:latin typeface="Aptos Narrow"/>
            </a:rPr>
            <a:t>959266</a:t>
          </a:fld>
          <a:endParaRPr lang="en-US" sz="1400" b="1" i="0" u="none" strike="noStrike" baseline="0">
            <a:solidFill>
              <a:schemeClr val="bg1"/>
            </a:solidFill>
            <a:latin typeface="+mn-lt"/>
          </a:endParaRPr>
        </a:p>
      </xdr:txBody>
    </xdr:sp>
    <xdr:clientData/>
  </xdr:twoCellAnchor>
  <xdr:twoCellAnchor>
    <xdr:from>
      <xdr:col>10</xdr:col>
      <xdr:colOff>4838</xdr:colOff>
      <xdr:row>32</xdr:row>
      <xdr:rowOff>24999</xdr:rowOff>
    </xdr:from>
    <xdr:to>
      <xdr:col>11</xdr:col>
      <xdr:colOff>418496</xdr:colOff>
      <xdr:row>33</xdr:row>
      <xdr:rowOff>108210</xdr:rowOff>
    </xdr:to>
    <xdr:sp macro="" textlink="">
      <xdr:nvSpPr>
        <xdr:cNvPr id="1060" name="Rectangle: Rounded Corners 1059">
          <a:extLst>
            <a:ext uri="{FF2B5EF4-FFF2-40B4-BE49-F238E27FC236}">
              <a16:creationId xmlns:a16="http://schemas.microsoft.com/office/drawing/2014/main" id="{EC74A7A4-583C-4819-9368-37791FB37932}"/>
            </a:ext>
          </a:extLst>
        </xdr:cNvPr>
        <xdr:cNvSpPr/>
      </xdr:nvSpPr>
      <xdr:spPr>
        <a:xfrm>
          <a:off x="6052457" y="5504142"/>
          <a:ext cx="1018420" cy="252544"/>
        </a:xfrm>
        <a:prstGeom prst="roundRect">
          <a:avLst/>
        </a:prstGeom>
        <a:solidFill>
          <a:srgbClr val="008D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209090</xdr:colOff>
      <xdr:row>32</xdr:row>
      <xdr:rowOff>17155</xdr:rowOff>
    </xdr:from>
    <xdr:to>
      <xdr:col>11</xdr:col>
      <xdr:colOff>440267</xdr:colOff>
      <xdr:row>33</xdr:row>
      <xdr:rowOff>99183</xdr:rowOff>
    </xdr:to>
    <xdr:sp macro="" textlink="'pivot table'!F13">
      <xdr:nvSpPr>
        <xdr:cNvPr id="1024" name="Text Box 2">
          <a:extLst>
            <a:ext uri="{FF2B5EF4-FFF2-40B4-BE49-F238E27FC236}">
              <a16:creationId xmlns:a16="http://schemas.microsoft.com/office/drawing/2014/main" id="{D040362A-CD16-4E02-A5BC-FECAEF209644}"/>
            </a:ext>
          </a:extLst>
        </xdr:cNvPr>
        <xdr:cNvSpPr txBox="1">
          <a:spLocks noChangeArrowheads="1"/>
        </xdr:cNvSpPr>
      </xdr:nvSpPr>
      <xdr:spPr bwMode="auto">
        <a:xfrm>
          <a:off x="6256709" y="5496298"/>
          <a:ext cx="835939" cy="251361"/>
        </a:xfrm>
        <a:prstGeom prst="rect">
          <a:avLst/>
        </a:prstGeom>
        <a:noFill/>
        <a:ln w="9525">
          <a:noFill/>
          <a:miter lim="800000"/>
          <a:headEnd/>
          <a:tailEnd/>
        </a:ln>
      </xdr:spPr>
      <xdr:txBody>
        <a:bodyPr vertOverflow="clip" wrap="square" lIns="27432" tIns="27432" rIns="0" bIns="0" anchor="t" upright="1"/>
        <a:lstStyle/>
        <a:p>
          <a:pPr algn="l" rtl="0">
            <a:defRPr sz="1000"/>
          </a:pPr>
          <a:fld id="{9A8F7E39-ED0A-496C-A311-7EF6FDD0AB08}" type="TxLink">
            <a:rPr lang="en-US" sz="1400" b="1" i="0" u="none" strike="noStrike" baseline="0">
              <a:solidFill>
                <a:schemeClr val="bg1"/>
              </a:solidFill>
              <a:latin typeface="Aptos Narrow"/>
            </a:rPr>
            <a:t>633594</a:t>
          </a:fld>
          <a:endParaRPr lang="en-US" sz="1600" b="1" i="0" u="none" strike="noStrike" baseline="0">
            <a:solidFill>
              <a:schemeClr val="bg1"/>
            </a:solidFill>
            <a:latin typeface="+mn-lt"/>
          </a:endParaRPr>
        </a:p>
      </xdr:txBody>
    </xdr:sp>
    <xdr:clientData/>
  </xdr:twoCellAnchor>
  <xdr:twoCellAnchor>
    <xdr:from>
      <xdr:col>10</xdr:col>
      <xdr:colOff>4838</xdr:colOff>
      <xdr:row>33</xdr:row>
      <xdr:rowOff>143731</xdr:rowOff>
    </xdr:from>
    <xdr:to>
      <xdr:col>11</xdr:col>
      <xdr:colOff>418496</xdr:colOff>
      <xdr:row>35</xdr:row>
      <xdr:rowOff>52768</xdr:rowOff>
    </xdr:to>
    <xdr:sp macro="" textlink="">
      <xdr:nvSpPr>
        <xdr:cNvPr id="1058" name="Rectangle: Rounded Corners 1057">
          <a:extLst>
            <a:ext uri="{FF2B5EF4-FFF2-40B4-BE49-F238E27FC236}">
              <a16:creationId xmlns:a16="http://schemas.microsoft.com/office/drawing/2014/main" id="{DF5372B6-9CC0-4850-ADE0-ADD42867A1E1}"/>
            </a:ext>
          </a:extLst>
        </xdr:cNvPr>
        <xdr:cNvSpPr/>
      </xdr:nvSpPr>
      <xdr:spPr>
        <a:xfrm>
          <a:off x="6052457" y="5792207"/>
          <a:ext cx="1018420" cy="247704"/>
        </a:xfrm>
        <a:prstGeom prst="roundRect">
          <a:avLst/>
        </a:prstGeom>
        <a:solidFill>
          <a:srgbClr val="008D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209092</xdr:colOff>
      <xdr:row>33</xdr:row>
      <xdr:rowOff>136899</xdr:rowOff>
    </xdr:from>
    <xdr:to>
      <xdr:col>11</xdr:col>
      <xdr:colOff>494695</xdr:colOff>
      <xdr:row>35</xdr:row>
      <xdr:rowOff>66526</xdr:rowOff>
    </xdr:to>
    <xdr:sp macro="" textlink="'pivot table'!F12">
      <xdr:nvSpPr>
        <xdr:cNvPr id="1029" name="Text Box 2">
          <a:extLst>
            <a:ext uri="{FF2B5EF4-FFF2-40B4-BE49-F238E27FC236}">
              <a16:creationId xmlns:a16="http://schemas.microsoft.com/office/drawing/2014/main" id="{2E516335-37FF-4EA7-98D5-EBE9239D5A1C}"/>
            </a:ext>
          </a:extLst>
        </xdr:cNvPr>
        <xdr:cNvSpPr txBox="1">
          <a:spLocks noChangeArrowheads="1"/>
        </xdr:cNvSpPr>
      </xdr:nvSpPr>
      <xdr:spPr bwMode="auto">
        <a:xfrm>
          <a:off x="6256711" y="5785375"/>
          <a:ext cx="890365" cy="268294"/>
        </a:xfrm>
        <a:prstGeom prst="rect">
          <a:avLst/>
        </a:prstGeom>
        <a:noFill/>
        <a:ln w="9525">
          <a:noFill/>
          <a:miter lim="800000"/>
          <a:headEnd/>
          <a:tailEnd/>
        </a:ln>
      </xdr:spPr>
      <xdr:txBody>
        <a:bodyPr vertOverflow="clip" wrap="square" lIns="27432" tIns="27432" rIns="0" bIns="0" anchor="t" upright="1"/>
        <a:lstStyle/>
        <a:p>
          <a:pPr algn="l" rtl="0">
            <a:defRPr sz="1000"/>
          </a:pPr>
          <a:fld id="{961A9799-8C95-4439-B22F-9433354FDAE3}" type="TxLink">
            <a:rPr lang="en-US" sz="1400" b="1" i="0" u="none" strike="noStrike" baseline="0">
              <a:solidFill>
                <a:schemeClr val="bg1"/>
              </a:solidFill>
              <a:latin typeface="Aptos Narrow"/>
            </a:rPr>
            <a:t>613842</a:t>
          </a:fld>
          <a:endParaRPr lang="en-US" sz="1400" b="1" i="0" u="none" strike="noStrike" baseline="0">
            <a:solidFill>
              <a:schemeClr val="bg1"/>
            </a:solidFill>
            <a:latin typeface="+mn-lt"/>
          </a:endParaRPr>
        </a:p>
      </xdr:txBody>
    </xdr:sp>
    <xdr:clientData/>
  </xdr:twoCellAnchor>
  <xdr:twoCellAnchor>
    <xdr:from>
      <xdr:col>11</xdr:col>
      <xdr:colOff>562432</xdr:colOff>
      <xdr:row>19</xdr:row>
      <xdr:rowOff>131833</xdr:rowOff>
    </xdr:from>
    <xdr:to>
      <xdr:col>17</xdr:col>
      <xdr:colOff>72574</xdr:colOff>
      <xdr:row>37</xdr:row>
      <xdr:rowOff>73456</xdr:rowOff>
    </xdr:to>
    <xdr:grpSp>
      <xdr:nvGrpSpPr>
        <xdr:cNvPr id="1166" name="Group 1165">
          <a:extLst>
            <a:ext uri="{FF2B5EF4-FFF2-40B4-BE49-F238E27FC236}">
              <a16:creationId xmlns:a16="http://schemas.microsoft.com/office/drawing/2014/main" id="{F1D70A1C-5AD9-327D-92AA-C04103CB6B19}"/>
            </a:ext>
          </a:extLst>
        </xdr:cNvPr>
        <xdr:cNvGrpSpPr/>
      </xdr:nvGrpSpPr>
      <xdr:grpSpPr>
        <a:xfrm>
          <a:off x="7243736" y="3500094"/>
          <a:ext cx="3154490" cy="3166319"/>
          <a:chOff x="7275289" y="3022596"/>
          <a:chExt cx="3138713" cy="3038004"/>
        </a:xfrm>
      </xdr:grpSpPr>
      <xdr:graphicFrame macro="">
        <xdr:nvGraphicFramePr>
          <xdr:cNvPr id="1076" name="Chart 1075">
            <a:extLst>
              <a:ext uri="{FF2B5EF4-FFF2-40B4-BE49-F238E27FC236}">
                <a16:creationId xmlns:a16="http://schemas.microsoft.com/office/drawing/2014/main" id="{E28966A2-7AE1-41B0-9E9B-889A94AF9297}"/>
              </a:ext>
            </a:extLst>
          </xdr:cNvPr>
          <xdr:cNvGraphicFramePr>
            <a:graphicFrameLocks/>
          </xdr:cNvGraphicFramePr>
        </xdr:nvGraphicFramePr>
        <xdr:xfrm>
          <a:off x="7300685" y="3408438"/>
          <a:ext cx="1579639" cy="1510695"/>
        </xdr:xfrm>
        <a:graphic>
          <a:graphicData uri="http://schemas.openxmlformats.org/drawingml/2006/chart">
            <c:chart xmlns:c="http://schemas.openxmlformats.org/drawingml/2006/chart" xmlns:r="http://schemas.openxmlformats.org/officeDocument/2006/relationships" r:id="rId1"/>
          </a:graphicData>
        </a:graphic>
      </xdr:graphicFrame>
      <xdr:grpSp>
        <xdr:nvGrpSpPr>
          <xdr:cNvPr id="1165" name="Group 1164">
            <a:extLst>
              <a:ext uri="{FF2B5EF4-FFF2-40B4-BE49-F238E27FC236}">
                <a16:creationId xmlns:a16="http://schemas.microsoft.com/office/drawing/2014/main" id="{65D138B3-5FD2-C385-24F7-DB5156B585D0}"/>
              </a:ext>
            </a:extLst>
          </xdr:cNvPr>
          <xdr:cNvGrpSpPr/>
        </xdr:nvGrpSpPr>
        <xdr:grpSpPr>
          <a:xfrm>
            <a:off x="7275289" y="3022596"/>
            <a:ext cx="3138713" cy="3038004"/>
            <a:chOff x="7275289" y="3022596"/>
            <a:chExt cx="3138713" cy="3038004"/>
          </a:xfrm>
        </xdr:grpSpPr>
        <xdr:sp macro="" textlink="'pivot table'!C12">
          <xdr:nvSpPr>
            <xdr:cNvPr id="32" name="TextBox 31">
              <a:extLst>
                <a:ext uri="{FF2B5EF4-FFF2-40B4-BE49-F238E27FC236}">
                  <a16:creationId xmlns:a16="http://schemas.microsoft.com/office/drawing/2014/main" id="{E39F3E06-FAED-9E79-0641-87CE6C2F71E8}"/>
                </a:ext>
              </a:extLst>
            </xdr:cNvPr>
            <xdr:cNvSpPr txBox="1"/>
          </xdr:nvSpPr>
          <xdr:spPr>
            <a:xfrm>
              <a:off x="9104088" y="4276877"/>
              <a:ext cx="1149047" cy="388256"/>
            </a:xfrm>
            <a:prstGeom prst="rect">
              <a:avLst/>
            </a:prstGeom>
            <a:solidFill>
              <a:srgbClr val="282828"/>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lvl="1"/>
              <a:fld id="{C8D6D378-816C-4D8C-B9E0-F5EA3B339A63}" type="TxLink">
                <a:rPr lang="en-US" sz="3600" b="1" i="0" u="none" strike="noStrike">
                  <a:solidFill>
                    <a:schemeClr val="bg1"/>
                  </a:solidFill>
                  <a:latin typeface="Aptos Narrow"/>
                </a:rPr>
                <a:pPr lvl="1"/>
                <a:t>13</a:t>
              </a:fld>
              <a:endParaRPr lang="en-US" sz="3600" b="1">
                <a:solidFill>
                  <a:schemeClr val="bg1"/>
                </a:solidFill>
              </a:endParaRPr>
            </a:p>
          </xdr:txBody>
        </xdr:sp>
        <xdr:sp macro="" textlink="">
          <xdr:nvSpPr>
            <xdr:cNvPr id="36" name="TextBox 35">
              <a:extLst>
                <a:ext uri="{FF2B5EF4-FFF2-40B4-BE49-F238E27FC236}">
                  <a16:creationId xmlns:a16="http://schemas.microsoft.com/office/drawing/2014/main" id="{B0627767-63DE-7B13-DC38-018FC50023DF}"/>
                </a:ext>
              </a:extLst>
            </xdr:cNvPr>
            <xdr:cNvSpPr txBox="1"/>
          </xdr:nvSpPr>
          <xdr:spPr>
            <a:xfrm>
              <a:off x="8880323" y="3624943"/>
              <a:ext cx="1220410" cy="679753"/>
            </a:xfrm>
            <a:prstGeom prst="rect">
              <a:avLst/>
            </a:prstGeom>
            <a:solidFill>
              <a:srgbClr val="282828"/>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1"/>
                  </a:solidFill>
                </a:rPr>
                <a:t>Part</a:t>
              </a:r>
              <a:r>
                <a:rPr lang="en-US" sz="1800" b="1" baseline="0">
                  <a:solidFill>
                    <a:schemeClr val="bg1"/>
                  </a:solidFill>
                </a:rPr>
                <a:t> time  Employee</a:t>
              </a:r>
              <a:endParaRPr lang="en-US" sz="1800" b="1">
                <a:solidFill>
                  <a:schemeClr val="bg1"/>
                </a:solidFill>
              </a:endParaRPr>
            </a:p>
          </xdr:txBody>
        </xdr:sp>
        <xdr:sp macro="" textlink="'pivot table'!C11">
          <xdr:nvSpPr>
            <xdr:cNvPr id="37" name="TextBox 36">
              <a:extLst>
                <a:ext uri="{FF2B5EF4-FFF2-40B4-BE49-F238E27FC236}">
                  <a16:creationId xmlns:a16="http://schemas.microsoft.com/office/drawing/2014/main" id="{FEE2E199-DA15-4228-95AD-AFEB15DF1AD6}"/>
                </a:ext>
              </a:extLst>
            </xdr:cNvPr>
            <xdr:cNvSpPr txBox="1"/>
          </xdr:nvSpPr>
          <xdr:spPr>
            <a:xfrm>
              <a:off x="9094985" y="5628800"/>
              <a:ext cx="1149047" cy="388257"/>
            </a:xfrm>
            <a:prstGeom prst="rect">
              <a:avLst/>
            </a:prstGeom>
            <a:solidFill>
              <a:srgbClr val="282828"/>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lvl="1"/>
              <a:fld id="{3CBE3E7E-030E-4006-9E55-BDF972CEB15D}" type="TxLink">
                <a:rPr lang="en-US" sz="3600" b="1" i="0" u="none" strike="noStrike">
                  <a:solidFill>
                    <a:schemeClr val="bg1"/>
                  </a:solidFill>
                  <a:latin typeface="Aptos Narrow"/>
                </a:rPr>
                <a:t>20</a:t>
              </a:fld>
              <a:endParaRPr lang="en-US" sz="3600" b="1">
                <a:solidFill>
                  <a:schemeClr val="bg1"/>
                </a:solidFill>
              </a:endParaRPr>
            </a:p>
          </xdr:txBody>
        </xdr:sp>
        <xdr:sp macro="" textlink="">
          <xdr:nvSpPr>
            <xdr:cNvPr id="38" name="TextBox 37">
              <a:extLst>
                <a:ext uri="{FF2B5EF4-FFF2-40B4-BE49-F238E27FC236}">
                  <a16:creationId xmlns:a16="http://schemas.microsoft.com/office/drawing/2014/main" id="{0E985FFC-30FA-4A6D-97BB-F6A09E8FB3E1}"/>
                </a:ext>
              </a:extLst>
            </xdr:cNvPr>
            <xdr:cNvSpPr txBox="1"/>
          </xdr:nvSpPr>
          <xdr:spPr>
            <a:xfrm>
              <a:off x="8860334" y="4853496"/>
              <a:ext cx="1220410" cy="775304"/>
            </a:xfrm>
            <a:prstGeom prst="rect">
              <a:avLst/>
            </a:prstGeom>
            <a:solidFill>
              <a:srgbClr val="282828"/>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baseline="0">
                  <a:solidFill>
                    <a:schemeClr val="bg1"/>
                  </a:solidFill>
                </a:rPr>
                <a:t>Full time  Employee</a:t>
              </a:r>
              <a:endParaRPr lang="en-US" sz="1800" b="1">
                <a:solidFill>
                  <a:schemeClr val="bg1"/>
                </a:solidFill>
              </a:endParaRPr>
            </a:p>
          </xdr:txBody>
        </xdr:sp>
        <xdr:sp macro="" textlink="">
          <xdr:nvSpPr>
            <xdr:cNvPr id="40" name="TextBox 39">
              <a:extLst>
                <a:ext uri="{FF2B5EF4-FFF2-40B4-BE49-F238E27FC236}">
                  <a16:creationId xmlns:a16="http://schemas.microsoft.com/office/drawing/2014/main" id="{B32A3456-9EF7-4FC2-9F82-175405D8B2AA}"/>
                </a:ext>
              </a:extLst>
            </xdr:cNvPr>
            <xdr:cNvSpPr txBox="1"/>
          </xdr:nvSpPr>
          <xdr:spPr>
            <a:xfrm>
              <a:off x="7420429" y="4897039"/>
              <a:ext cx="1253066" cy="903837"/>
            </a:xfrm>
            <a:prstGeom prst="rect">
              <a:avLst/>
            </a:prstGeom>
            <a:solidFill>
              <a:srgbClr val="282828"/>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700" b="1" baseline="0">
                  <a:solidFill>
                    <a:schemeClr val="bg1"/>
                  </a:solidFill>
                </a:rPr>
                <a:t>Employee with Contract</a:t>
              </a:r>
              <a:endParaRPr lang="en-US" sz="1700" b="1">
                <a:solidFill>
                  <a:schemeClr val="bg1"/>
                </a:solidFill>
              </a:endParaRPr>
            </a:p>
          </xdr:txBody>
        </xdr:sp>
        <xdr:sp macro="" textlink="'pivot table'!C10">
          <xdr:nvSpPr>
            <xdr:cNvPr id="39" name="TextBox 38">
              <a:extLst>
                <a:ext uri="{FF2B5EF4-FFF2-40B4-BE49-F238E27FC236}">
                  <a16:creationId xmlns:a16="http://schemas.microsoft.com/office/drawing/2014/main" id="{53181F39-C256-4338-BEAB-C7E70BCE4907}"/>
                </a:ext>
              </a:extLst>
            </xdr:cNvPr>
            <xdr:cNvSpPr txBox="1"/>
          </xdr:nvSpPr>
          <xdr:spPr>
            <a:xfrm>
              <a:off x="7594603" y="5667505"/>
              <a:ext cx="1144210" cy="393095"/>
            </a:xfrm>
            <a:prstGeom prst="rect">
              <a:avLst/>
            </a:prstGeom>
            <a:solidFill>
              <a:srgbClr val="282828"/>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lvl="1"/>
              <a:fld id="{0703E923-561C-48AC-AB39-130D289E91C4}" type="TxLink">
                <a:rPr lang="en-US" sz="3600" b="1" i="0" u="none" strike="noStrike">
                  <a:solidFill>
                    <a:schemeClr val="bg1"/>
                  </a:solidFill>
                  <a:latin typeface="Aptos Narrow"/>
                </a:rPr>
                <a:t>17</a:t>
              </a:fld>
              <a:endParaRPr lang="en-US" sz="3600" b="1">
                <a:solidFill>
                  <a:schemeClr val="bg1"/>
                </a:solidFill>
              </a:endParaRPr>
            </a:p>
          </xdr:txBody>
        </xdr:sp>
        <xdr:sp macro="" textlink="">
          <xdr:nvSpPr>
            <xdr:cNvPr id="1075" name="TextBox 1074">
              <a:extLst>
                <a:ext uri="{FF2B5EF4-FFF2-40B4-BE49-F238E27FC236}">
                  <a16:creationId xmlns:a16="http://schemas.microsoft.com/office/drawing/2014/main" id="{2F132E0E-4319-AAC0-1677-048DDE1C25AB}"/>
                </a:ext>
              </a:extLst>
            </xdr:cNvPr>
            <xdr:cNvSpPr txBox="1"/>
          </xdr:nvSpPr>
          <xdr:spPr>
            <a:xfrm>
              <a:off x="7275289" y="3022596"/>
              <a:ext cx="3138713" cy="4063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800" b="1">
                  <a:solidFill>
                    <a:srgbClr val="008DFF"/>
                  </a:solidFill>
                </a:rPr>
                <a:t>Employment status breakdown</a:t>
              </a:r>
              <a:r>
                <a:rPr lang="en-US" sz="1800">
                  <a:solidFill>
                    <a:srgbClr val="008DFF"/>
                  </a:solidFill>
                </a:rPr>
                <a:t> </a:t>
              </a:r>
            </a:p>
          </xdr:txBody>
        </xdr:sp>
        <xdr:sp macro="" textlink="">
          <xdr:nvSpPr>
            <xdr:cNvPr id="1077" name="Oval 1076">
              <a:extLst>
                <a:ext uri="{FF2B5EF4-FFF2-40B4-BE49-F238E27FC236}">
                  <a16:creationId xmlns:a16="http://schemas.microsoft.com/office/drawing/2014/main" id="{09FFC561-2AE2-2D14-DC43-0AECD030FFD0}"/>
                </a:ext>
              </a:extLst>
            </xdr:cNvPr>
            <xdr:cNvSpPr/>
          </xdr:nvSpPr>
          <xdr:spPr>
            <a:xfrm>
              <a:off x="8466668" y="4982031"/>
              <a:ext cx="228599" cy="223758"/>
            </a:xfrm>
            <a:prstGeom prst="ellipse">
              <a:avLst/>
            </a:prstGeom>
            <a:solidFill>
              <a:schemeClr val="tx1">
                <a:lumMod val="65000"/>
                <a:lumOff val="3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079" name="Oval 1078">
              <a:extLst>
                <a:ext uri="{FF2B5EF4-FFF2-40B4-BE49-F238E27FC236}">
                  <a16:creationId xmlns:a16="http://schemas.microsoft.com/office/drawing/2014/main" id="{5E76F9A8-454F-4BB0-A1FC-FE1C02F1F800}"/>
                </a:ext>
              </a:extLst>
            </xdr:cNvPr>
            <xdr:cNvSpPr/>
          </xdr:nvSpPr>
          <xdr:spPr>
            <a:xfrm>
              <a:off x="9959218" y="3733801"/>
              <a:ext cx="228599" cy="243111"/>
            </a:xfrm>
            <a:prstGeom prst="ellipse">
              <a:avLst/>
            </a:prstGeom>
            <a:solidFill>
              <a:schemeClr val="accent4">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080" name="Oval 1079">
              <a:extLst>
                <a:ext uri="{FF2B5EF4-FFF2-40B4-BE49-F238E27FC236}">
                  <a16:creationId xmlns:a16="http://schemas.microsoft.com/office/drawing/2014/main" id="{D2035C49-AE2B-4A34-AFFF-8125F73CB604}"/>
                </a:ext>
              </a:extLst>
            </xdr:cNvPr>
            <xdr:cNvSpPr/>
          </xdr:nvSpPr>
          <xdr:spPr>
            <a:xfrm>
              <a:off x="9937448" y="4954209"/>
              <a:ext cx="228599" cy="218920"/>
            </a:xfrm>
            <a:prstGeom prst="ellipse">
              <a:avLst/>
            </a:prstGeom>
            <a:solidFill>
              <a:srgbClr val="005FD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grpSp>
    <xdr:clientData/>
  </xdr:twoCellAnchor>
  <xdr:twoCellAnchor>
    <xdr:from>
      <xdr:col>3</xdr:col>
      <xdr:colOff>353179</xdr:colOff>
      <xdr:row>26</xdr:row>
      <xdr:rowOff>77409</xdr:rowOff>
    </xdr:from>
    <xdr:to>
      <xdr:col>7</xdr:col>
      <xdr:colOff>451152</xdr:colOff>
      <xdr:row>38</xdr:row>
      <xdr:rowOff>55636</xdr:rowOff>
    </xdr:to>
    <xdr:graphicFrame macro="">
      <xdr:nvGraphicFramePr>
        <xdr:cNvPr id="1081" name="Chart 1080">
          <a:extLst>
            <a:ext uri="{FF2B5EF4-FFF2-40B4-BE49-F238E27FC236}">
              <a16:creationId xmlns:a16="http://schemas.microsoft.com/office/drawing/2014/main" id="{6B08EBFD-98F7-4916-9C8D-B7F6F78E9F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197671</xdr:colOff>
      <xdr:row>26</xdr:row>
      <xdr:rowOff>31346</xdr:rowOff>
    </xdr:from>
    <xdr:to>
      <xdr:col>6</xdr:col>
      <xdr:colOff>312776</xdr:colOff>
      <xdr:row>26</xdr:row>
      <xdr:rowOff>138998</xdr:rowOff>
    </xdr:to>
    <xdr:sp macro="" textlink="">
      <xdr:nvSpPr>
        <xdr:cNvPr id="1083" name="Oval 1082">
          <a:extLst>
            <a:ext uri="{FF2B5EF4-FFF2-40B4-BE49-F238E27FC236}">
              <a16:creationId xmlns:a16="http://schemas.microsoft.com/office/drawing/2014/main" id="{B34A0506-4BD2-4BBA-8E33-262D3B363AD3}"/>
            </a:ext>
          </a:extLst>
        </xdr:cNvPr>
        <xdr:cNvSpPr/>
      </xdr:nvSpPr>
      <xdr:spPr>
        <a:xfrm>
          <a:off x="3826242" y="4494489"/>
          <a:ext cx="115105" cy="107652"/>
        </a:xfrm>
        <a:prstGeom prst="ellipse">
          <a:avLst/>
        </a:prstGeom>
        <a:solidFill>
          <a:schemeClr val="accent4">
            <a:lumMod val="20000"/>
            <a:lumOff val="80000"/>
            <a:alpha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50897</xdr:colOff>
      <xdr:row>26</xdr:row>
      <xdr:rowOff>40061</xdr:rowOff>
    </xdr:from>
    <xdr:to>
      <xdr:col>5</xdr:col>
      <xdr:colOff>166002</xdr:colOff>
      <xdr:row>26</xdr:row>
      <xdr:rowOff>147713</xdr:rowOff>
    </xdr:to>
    <xdr:sp macro="" textlink="">
      <xdr:nvSpPr>
        <xdr:cNvPr id="1084" name="Oval 1083">
          <a:extLst>
            <a:ext uri="{FF2B5EF4-FFF2-40B4-BE49-F238E27FC236}">
              <a16:creationId xmlns:a16="http://schemas.microsoft.com/office/drawing/2014/main" id="{FCB15341-D600-434E-B49B-2A15540B151C}"/>
            </a:ext>
          </a:extLst>
        </xdr:cNvPr>
        <xdr:cNvSpPr/>
      </xdr:nvSpPr>
      <xdr:spPr>
        <a:xfrm>
          <a:off x="3074707" y="4503204"/>
          <a:ext cx="115105" cy="107652"/>
        </a:xfrm>
        <a:prstGeom prst="ellipse">
          <a:avLst/>
        </a:prstGeom>
        <a:solidFill>
          <a:srgbClr val="008D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223853</xdr:colOff>
      <xdr:row>29</xdr:row>
      <xdr:rowOff>46214</xdr:rowOff>
    </xdr:from>
    <xdr:to>
      <xdr:col>2</xdr:col>
      <xdr:colOff>462687</xdr:colOff>
      <xdr:row>33</xdr:row>
      <xdr:rowOff>137200</xdr:rowOff>
    </xdr:to>
    <xdr:graphicFrame macro="">
      <xdr:nvGraphicFramePr>
        <xdr:cNvPr id="1085" name="Chart 1084">
          <a:extLst>
            <a:ext uri="{FF2B5EF4-FFF2-40B4-BE49-F238E27FC236}">
              <a16:creationId xmlns:a16="http://schemas.microsoft.com/office/drawing/2014/main" id="{6FD41082-E391-44CB-9203-D5AC2F5072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257970</xdr:colOff>
      <xdr:row>32</xdr:row>
      <xdr:rowOff>35638</xdr:rowOff>
    </xdr:from>
    <xdr:to>
      <xdr:col>2</xdr:col>
      <xdr:colOff>474060</xdr:colOff>
      <xdr:row>36</xdr:row>
      <xdr:rowOff>148573</xdr:rowOff>
    </xdr:to>
    <xdr:graphicFrame macro="">
      <xdr:nvGraphicFramePr>
        <xdr:cNvPr id="1086" name="Chart 1085">
          <a:extLst>
            <a:ext uri="{FF2B5EF4-FFF2-40B4-BE49-F238E27FC236}">
              <a16:creationId xmlns:a16="http://schemas.microsoft.com/office/drawing/2014/main" id="{6D1A4849-72B4-4F83-AD1F-EF06580BBA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257972</xdr:colOff>
      <xdr:row>35</xdr:row>
      <xdr:rowOff>13630</xdr:rowOff>
    </xdr:from>
    <xdr:to>
      <xdr:col>2</xdr:col>
      <xdr:colOff>474061</xdr:colOff>
      <xdr:row>39</xdr:row>
      <xdr:rowOff>46215</xdr:rowOff>
    </xdr:to>
    <xdr:graphicFrame macro="">
      <xdr:nvGraphicFramePr>
        <xdr:cNvPr id="1087" name="Chart 1086">
          <a:extLst>
            <a:ext uri="{FF2B5EF4-FFF2-40B4-BE49-F238E27FC236}">
              <a16:creationId xmlns:a16="http://schemas.microsoft.com/office/drawing/2014/main" id="{EC03D2A8-405E-41C9-B14D-C58C738C25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317361</xdr:colOff>
      <xdr:row>29</xdr:row>
      <xdr:rowOff>1389</xdr:rowOff>
    </xdr:from>
    <xdr:to>
      <xdr:col>2</xdr:col>
      <xdr:colOff>350019</xdr:colOff>
      <xdr:row>30</xdr:row>
      <xdr:rowOff>154780</xdr:rowOff>
    </xdr:to>
    <xdr:sp macro="" textlink="">
      <xdr:nvSpPr>
        <xdr:cNvPr id="1088" name="Text Box 2">
          <a:extLst>
            <a:ext uri="{FF2B5EF4-FFF2-40B4-BE49-F238E27FC236}">
              <a16:creationId xmlns:a16="http://schemas.microsoft.com/office/drawing/2014/main" id="{64D4E9A0-4E8D-41BC-B289-279628DA9B56}"/>
            </a:ext>
          </a:extLst>
        </xdr:cNvPr>
        <xdr:cNvSpPr txBox="1">
          <a:spLocks noChangeArrowheads="1"/>
        </xdr:cNvSpPr>
      </xdr:nvSpPr>
      <xdr:spPr bwMode="auto">
        <a:xfrm>
          <a:off x="317361" y="4972532"/>
          <a:ext cx="1242182" cy="322724"/>
        </a:xfrm>
        <a:prstGeom prst="rect">
          <a:avLst/>
        </a:prstGeom>
        <a:solidFill>
          <a:srgbClr val="282828"/>
        </a:solidFill>
        <a:ln w="9525">
          <a:noFill/>
          <a:miter lim="800000"/>
          <a:headEnd/>
          <a:tailEnd/>
        </a:ln>
      </xdr:spPr>
      <xdr:txBody>
        <a:bodyPr vertOverflow="clip" wrap="square" lIns="27432" tIns="27432" rIns="0" bIns="0" anchor="t" upright="1"/>
        <a:lstStyle/>
        <a:p>
          <a:pPr algn="l" rtl="0">
            <a:defRPr sz="1000"/>
          </a:pPr>
          <a:r>
            <a:rPr lang="en-US" sz="1600" b="1" i="0" u="none" strike="noStrike" baseline="0">
              <a:solidFill>
                <a:schemeClr val="bg1"/>
              </a:solidFill>
              <a:latin typeface="+mn-lt"/>
            </a:rPr>
            <a:t>Branch Office</a:t>
          </a:r>
          <a:r>
            <a:rPr lang="en-US" sz="1400" b="1" i="0" u="none" strike="noStrike" baseline="0">
              <a:solidFill>
                <a:schemeClr val="bg1"/>
              </a:solidFill>
              <a:latin typeface="+mn-lt"/>
            </a:rPr>
            <a:t> </a:t>
          </a:r>
        </a:p>
      </xdr:txBody>
    </xdr:sp>
    <xdr:clientData/>
  </xdr:twoCellAnchor>
  <xdr:twoCellAnchor>
    <xdr:from>
      <xdr:col>0</xdr:col>
      <xdr:colOff>326557</xdr:colOff>
      <xdr:row>32</xdr:row>
      <xdr:rowOff>12962</xdr:rowOff>
    </xdr:from>
    <xdr:to>
      <xdr:col>2</xdr:col>
      <xdr:colOff>359215</xdr:colOff>
      <xdr:row>33</xdr:row>
      <xdr:rowOff>138535</xdr:rowOff>
    </xdr:to>
    <xdr:sp macro="" textlink="">
      <xdr:nvSpPr>
        <xdr:cNvPr id="1089" name="Text Box 2">
          <a:extLst>
            <a:ext uri="{FF2B5EF4-FFF2-40B4-BE49-F238E27FC236}">
              <a16:creationId xmlns:a16="http://schemas.microsoft.com/office/drawing/2014/main" id="{12782E56-13CC-40C3-BB13-0B915ACBEB20}"/>
            </a:ext>
          </a:extLst>
        </xdr:cNvPr>
        <xdr:cNvSpPr txBox="1">
          <a:spLocks noChangeArrowheads="1"/>
        </xdr:cNvSpPr>
      </xdr:nvSpPr>
      <xdr:spPr bwMode="auto">
        <a:xfrm>
          <a:off x="326557" y="5492105"/>
          <a:ext cx="1242182" cy="294906"/>
        </a:xfrm>
        <a:prstGeom prst="rect">
          <a:avLst/>
        </a:prstGeom>
        <a:solidFill>
          <a:srgbClr val="282828"/>
        </a:solidFill>
        <a:ln w="9525">
          <a:noFill/>
          <a:miter lim="800000"/>
          <a:headEnd/>
          <a:tailEnd/>
        </a:ln>
      </xdr:spPr>
      <xdr:txBody>
        <a:bodyPr vertOverflow="clip" wrap="square" lIns="27432" tIns="27432" rIns="0" bIns="0" anchor="t" upright="1"/>
        <a:lstStyle/>
        <a:p>
          <a:pPr algn="l" rtl="0">
            <a:defRPr sz="1000"/>
          </a:pPr>
          <a:r>
            <a:rPr lang="en-US" sz="1600" b="1" i="0" u="none" strike="noStrike" baseline="0">
              <a:solidFill>
                <a:schemeClr val="bg1"/>
              </a:solidFill>
              <a:latin typeface="+mn-lt"/>
            </a:rPr>
            <a:t>Head Office</a:t>
          </a:r>
          <a:r>
            <a:rPr lang="en-US" sz="1400" b="1" i="0" u="none" strike="noStrike" baseline="0">
              <a:solidFill>
                <a:schemeClr val="bg1"/>
              </a:solidFill>
              <a:latin typeface="+mn-lt"/>
            </a:rPr>
            <a:t> </a:t>
          </a:r>
        </a:p>
      </xdr:txBody>
    </xdr:sp>
    <xdr:clientData/>
  </xdr:twoCellAnchor>
  <xdr:twoCellAnchor>
    <xdr:from>
      <xdr:col>0</xdr:col>
      <xdr:colOff>347614</xdr:colOff>
      <xdr:row>34</xdr:row>
      <xdr:rowOff>167312</xdr:rowOff>
    </xdr:from>
    <xdr:to>
      <xdr:col>2</xdr:col>
      <xdr:colOff>380272</xdr:colOff>
      <xdr:row>36</xdr:row>
      <xdr:rowOff>64283</xdr:rowOff>
    </xdr:to>
    <xdr:sp macro="" textlink="">
      <xdr:nvSpPr>
        <xdr:cNvPr id="1090" name="Text Box 2">
          <a:extLst>
            <a:ext uri="{FF2B5EF4-FFF2-40B4-BE49-F238E27FC236}">
              <a16:creationId xmlns:a16="http://schemas.microsoft.com/office/drawing/2014/main" id="{E13273C2-C94D-4BFF-B8A6-AEE37215A57C}"/>
            </a:ext>
          </a:extLst>
        </xdr:cNvPr>
        <xdr:cNvSpPr txBox="1">
          <a:spLocks noChangeArrowheads="1"/>
        </xdr:cNvSpPr>
      </xdr:nvSpPr>
      <xdr:spPr bwMode="auto">
        <a:xfrm>
          <a:off x="347614" y="5985122"/>
          <a:ext cx="1242182" cy="235637"/>
        </a:xfrm>
        <a:prstGeom prst="rect">
          <a:avLst/>
        </a:prstGeom>
        <a:solidFill>
          <a:srgbClr val="282828"/>
        </a:solidFill>
        <a:ln w="9525">
          <a:noFill/>
          <a:miter lim="800000"/>
          <a:headEnd/>
          <a:tailEnd/>
        </a:ln>
      </xdr:spPr>
      <xdr:txBody>
        <a:bodyPr vertOverflow="clip" wrap="square" lIns="27432" tIns="27432" rIns="0" bIns="0" anchor="t" upright="1"/>
        <a:lstStyle/>
        <a:p>
          <a:pPr algn="l" rtl="0">
            <a:defRPr sz="1000"/>
          </a:pPr>
          <a:r>
            <a:rPr lang="en-US" sz="1600" b="1" i="0" u="none" strike="noStrike" baseline="0">
              <a:solidFill>
                <a:schemeClr val="bg1"/>
              </a:solidFill>
              <a:latin typeface="Aptos Narrow"/>
            </a:rPr>
            <a:t> </a:t>
          </a:r>
          <a:r>
            <a:rPr lang="en-US" sz="1600" b="1" i="0" u="none" strike="noStrike" baseline="0">
              <a:solidFill>
                <a:schemeClr val="bg1"/>
              </a:solidFill>
              <a:latin typeface="+mn-lt"/>
            </a:rPr>
            <a:t>Remote</a:t>
          </a:r>
        </a:p>
      </xdr:txBody>
    </xdr:sp>
    <xdr:clientData/>
  </xdr:twoCellAnchor>
  <xdr:twoCellAnchor>
    <xdr:from>
      <xdr:col>2</xdr:col>
      <xdr:colOff>367404</xdr:colOff>
      <xdr:row>30</xdr:row>
      <xdr:rowOff>137202</xdr:rowOff>
    </xdr:from>
    <xdr:to>
      <xdr:col>3</xdr:col>
      <xdr:colOff>98749</xdr:colOff>
      <xdr:row>31</xdr:row>
      <xdr:rowOff>147956</xdr:rowOff>
    </xdr:to>
    <xdr:sp macro="" textlink="'pivot table'!O11">
      <xdr:nvSpPr>
        <xdr:cNvPr id="1093" name="Text Box 2">
          <a:extLst>
            <a:ext uri="{FF2B5EF4-FFF2-40B4-BE49-F238E27FC236}">
              <a16:creationId xmlns:a16="http://schemas.microsoft.com/office/drawing/2014/main" id="{E19DDD8C-D15E-4F4F-876F-225C1B59FF0F}"/>
            </a:ext>
          </a:extLst>
        </xdr:cNvPr>
        <xdr:cNvSpPr txBox="1">
          <a:spLocks noChangeArrowheads="1"/>
        </xdr:cNvSpPr>
      </xdr:nvSpPr>
      <xdr:spPr bwMode="auto">
        <a:xfrm>
          <a:off x="1576928" y="5277678"/>
          <a:ext cx="336107" cy="180088"/>
        </a:xfrm>
        <a:prstGeom prst="rect">
          <a:avLst/>
        </a:prstGeom>
        <a:solidFill>
          <a:srgbClr val="282828"/>
        </a:solidFill>
        <a:ln w="9525">
          <a:noFill/>
          <a:miter lim="800000"/>
          <a:headEnd/>
          <a:tailEnd/>
        </a:ln>
      </xdr:spPr>
      <xdr:txBody>
        <a:bodyPr vertOverflow="clip" wrap="square" lIns="27432" tIns="27432" rIns="0" bIns="0" anchor="t" upright="1"/>
        <a:lstStyle/>
        <a:p>
          <a:pPr algn="l" rtl="0">
            <a:defRPr sz="1000"/>
          </a:pPr>
          <a:fld id="{184E3F44-DCCA-4F0D-99FF-989DF3069078}" type="TxLink">
            <a:rPr lang="en-US" sz="1200" b="1" i="0" u="none" strike="noStrike" baseline="0">
              <a:solidFill>
                <a:schemeClr val="bg1"/>
              </a:solidFill>
              <a:latin typeface="Aptos Narrow"/>
            </a:rPr>
            <a:t>46%</a:t>
          </a:fld>
          <a:endParaRPr lang="en-US" sz="1600" b="1" i="0" u="none" strike="noStrike" baseline="0">
            <a:solidFill>
              <a:schemeClr val="bg1"/>
            </a:solidFill>
            <a:latin typeface="+mn-lt"/>
          </a:endParaRPr>
        </a:p>
      </xdr:txBody>
    </xdr:sp>
    <xdr:clientData/>
  </xdr:twoCellAnchor>
  <xdr:twoCellAnchor>
    <xdr:from>
      <xdr:col>2</xdr:col>
      <xdr:colOff>399345</xdr:colOff>
      <xdr:row>33</xdr:row>
      <xdr:rowOff>137201</xdr:rowOff>
    </xdr:from>
    <xdr:to>
      <xdr:col>3</xdr:col>
      <xdr:colOff>155613</xdr:colOff>
      <xdr:row>34</xdr:row>
      <xdr:rowOff>165830</xdr:rowOff>
    </xdr:to>
    <xdr:sp macro="" textlink="'pivot table'!O12">
      <xdr:nvSpPr>
        <xdr:cNvPr id="1094" name="Text Box 2">
          <a:extLst>
            <a:ext uri="{FF2B5EF4-FFF2-40B4-BE49-F238E27FC236}">
              <a16:creationId xmlns:a16="http://schemas.microsoft.com/office/drawing/2014/main" id="{7F7CF11D-198E-410D-BD83-2E810FD85F71}"/>
            </a:ext>
          </a:extLst>
        </xdr:cNvPr>
        <xdr:cNvSpPr txBox="1">
          <a:spLocks noChangeArrowheads="1"/>
        </xdr:cNvSpPr>
      </xdr:nvSpPr>
      <xdr:spPr bwMode="auto">
        <a:xfrm>
          <a:off x="1608869" y="5785677"/>
          <a:ext cx="361030" cy="197963"/>
        </a:xfrm>
        <a:prstGeom prst="rect">
          <a:avLst/>
        </a:prstGeom>
        <a:solidFill>
          <a:srgbClr val="282828"/>
        </a:solidFill>
        <a:ln w="9525">
          <a:noFill/>
          <a:miter lim="800000"/>
          <a:headEnd/>
          <a:tailEnd/>
        </a:ln>
      </xdr:spPr>
      <xdr:txBody>
        <a:bodyPr vertOverflow="clip" wrap="square" lIns="27432" tIns="27432" rIns="0" bIns="0" anchor="t" upright="1"/>
        <a:lstStyle/>
        <a:p>
          <a:pPr algn="l" rtl="0">
            <a:defRPr sz="1000"/>
          </a:pPr>
          <a:fld id="{40FC8805-C831-4B93-8942-EBFFB3E46BEC}" type="TxLink">
            <a:rPr lang="en-US" sz="1200" b="1" i="0" u="none" strike="noStrike" baseline="0">
              <a:solidFill>
                <a:schemeClr val="bg1"/>
              </a:solidFill>
              <a:latin typeface="Aptos Narrow"/>
            </a:rPr>
            <a:t>16%</a:t>
          </a:fld>
          <a:endParaRPr lang="en-US" sz="1600" b="1" i="0" u="none" strike="noStrike" baseline="0">
            <a:solidFill>
              <a:schemeClr val="bg1"/>
            </a:solidFill>
            <a:latin typeface="+mn-lt"/>
          </a:endParaRPr>
        </a:p>
      </xdr:txBody>
    </xdr:sp>
    <xdr:clientData/>
  </xdr:twoCellAnchor>
  <xdr:twoCellAnchor>
    <xdr:from>
      <xdr:col>2</xdr:col>
      <xdr:colOff>409029</xdr:colOff>
      <xdr:row>36</xdr:row>
      <xdr:rowOff>80335</xdr:rowOff>
    </xdr:from>
    <xdr:to>
      <xdr:col>3</xdr:col>
      <xdr:colOff>132867</xdr:colOff>
      <xdr:row>37</xdr:row>
      <xdr:rowOff>91578</xdr:rowOff>
    </xdr:to>
    <xdr:sp macro="" textlink="'pivot table'!O13">
      <xdr:nvSpPr>
        <xdr:cNvPr id="1095" name="Text Box 2">
          <a:extLst>
            <a:ext uri="{FF2B5EF4-FFF2-40B4-BE49-F238E27FC236}">
              <a16:creationId xmlns:a16="http://schemas.microsoft.com/office/drawing/2014/main" id="{8DB81092-DD7F-4791-81A9-C01AF0F78BD4}"/>
            </a:ext>
          </a:extLst>
        </xdr:cNvPr>
        <xdr:cNvSpPr txBox="1">
          <a:spLocks noChangeArrowheads="1"/>
        </xdr:cNvSpPr>
      </xdr:nvSpPr>
      <xdr:spPr bwMode="auto">
        <a:xfrm>
          <a:off x="1618553" y="6236811"/>
          <a:ext cx="328600" cy="180577"/>
        </a:xfrm>
        <a:prstGeom prst="rect">
          <a:avLst/>
        </a:prstGeom>
        <a:solidFill>
          <a:srgbClr val="282828"/>
        </a:solidFill>
        <a:ln w="9525">
          <a:noFill/>
          <a:miter lim="800000"/>
          <a:headEnd/>
          <a:tailEnd/>
        </a:ln>
      </xdr:spPr>
      <xdr:txBody>
        <a:bodyPr vertOverflow="clip" wrap="square" lIns="27432" tIns="27432" rIns="0" bIns="0" anchor="t" upright="1"/>
        <a:lstStyle/>
        <a:p>
          <a:pPr algn="l" rtl="0">
            <a:defRPr sz="1000"/>
          </a:pPr>
          <a:fld id="{24D18D95-61FF-4577-8E0B-27E18D302CE0}" type="TxLink">
            <a:rPr lang="en-US" sz="1200" b="1" i="0" u="none" strike="noStrike" baseline="0">
              <a:solidFill>
                <a:schemeClr val="bg1"/>
              </a:solidFill>
              <a:latin typeface="Aptos Narrow"/>
            </a:rPr>
            <a:t>38%</a:t>
          </a:fld>
          <a:endParaRPr lang="en-US" sz="1800" b="1" i="0" u="none" strike="noStrike" baseline="0">
            <a:solidFill>
              <a:schemeClr val="bg1"/>
            </a:solidFill>
            <a:latin typeface="+mn-lt"/>
          </a:endParaRPr>
        </a:p>
      </xdr:txBody>
    </xdr:sp>
    <xdr:clientData/>
  </xdr:twoCellAnchor>
  <xdr:twoCellAnchor>
    <xdr:from>
      <xdr:col>0</xdr:col>
      <xdr:colOff>113533</xdr:colOff>
      <xdr:row>26</xdr:row>
      <xdr:rowOff>46215</xdr:rowOff>
    </xdr:from>
    <xdr:to>
      <xdr:col>3</xdr:col>
      <xdr:colOff>110120</xdr:colOff>
      <xdr:row>29</xdr:row>
      <xdr:rowOff>65548</xdr:rowOff>
    </xdr:to>
    <xdr:sp macro="" textlink="">
      <xdr:nvSpPr>
        <xdr:cNvPr id="1096" name="TextBox 1095">
          <a:extLst>
            <a:ext uri="{FF2B5EF4-FFF2-40B4-BE49-F238E27FC236}">
              <a16:creationId xmlns:a16="http://schemas.microsoft.com/office/drawing/2014/main" id="{BF362F63-0D08-7C1B-D816-3809C4338972}"/>
            </a:ext>
          </a:extLst>
        </xdr:cNvPr>
        <xdr:cNvSpPr txBox="1"/>
      </xdr:nvSpPr>
      <xdr:spPr>
        <a:xfrm>
          <a:off x="113533" y="4509358"/>
          <a:ext cx="1810873" cy="5273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800" b="1" i="0" baseline="0">
              <a:solidFill>
                <a:srgbClr val="008DFF"/>
              </a:solidFill>
              <a:effectLst/>
              <a:latin typeface="+mn-lt"/>
              <a:ea typeface="+mn-ea"/>
              <a:cs typeface="+mn-cs"/>
            </a:rPr>
            <a:t>Work location </a:t>
          </a:r>
          <a:endParaRPr lang="ar-EG" sz="1800" b="1" i="0" baseline="0">
            <a:solidFill>
              <a:srgbClr val="008DFF"/>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900" b="1" i="0" baseline="0">
              <a:solidFill>
                <a:schemeClr val="bg2">
                  <a:lumMod val="90000"/>
                </a:schemeClr>
              </a:solidFill>
              <a:effectLst/>
              <a:latin typeface="+mn-lt"/>
              <a:ea typeface="+mn-ea"/>
              <a:cs typeface="+mn-cs"/>
            </a:rPr>
            <a:t>   Emplyees  to place</a:t>
          </a:r>
          <a:endParaRPr lang="en-US" sz="900">
            <a:solidFill>
              <a:schemeClr val="bg2">
                <a:lumMod val="90000"/>
              </a:schemeClr>
            </a:solidFill>
            <a:effectLst/>
          </a:endParaRPr>
        </a:p>
        <a:p>
          <a:endParaRPr lang="en-US" sz="1100"/>
        </a:p>
      </xdr:txBody>
    </xdr:sp>
    <xdr:clientData/>
  </xdr:twoCellAnchor>
  <xdr:twoCellAnchor>
    <xdr:from>
      <xdr:col>18</xdr:col>
      <xdr:colOff>519553</xdr:colOff>
      <xdr:row>20</xdr:row>
      <xdr:rowOff>33397</xdr:rowOff>
    </xdr:from>
    <xdr:to>
      <xdr:col>19</xdr:col>
      <xdr:colOff>99522</xdr:colOff>
      <xdr:row>21</xdr:row>
      <xdr:rowOff>116528</xdr:rowOff>
    </xdr:to>
    <xdr:sp macro="" textlink="">
      <xdr:nvSpPr>
        <xdr:cNvPr id="1097" name="TextBox 1096">
          <a:extLst>
            <a:ext uri="{FF2B5EF4-FFF2-40B4-BE49-F238E27FC236}">
              <a16:creationId xmlns:a16="http://schemas.microsoft.com/office/drawing/2014/main" id="{345D47A4-07D5-84D3-1842-A4B7FFCFD529}"/>
            </a:ext>
          </a:extLst>
        </xdr:cNvPr>
        <xdr:cNvSpPr txBox="1"/>
      </xdr:nvSpPr>
      <xdr:spPr>
        <a:xfrm>
          <a:off x="11405267" y="3444254"/>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endParaRPr lang="en-US" sz="1100"/>
        </a:p>
      </xdr:txBody>
    </xdr:sp>
    <xdr:clientData/>
  </xdr:twoCellAnchor>
  <xdr:twoCellAnchor>
    <xdr:from>
      <xdr:col>0</xdr:col>
      <xdr:colOff>203049</xdr:colOff>
      <xdr:row>16</xdr:row>
      <xdr:rowOff>46214</xdr:rowOff>
    </xdr:from>
    <xdr:to>
      <xdr:col>2</xdr:col>
      <xdr:colOff>462687</xdr:colOff>
      <xdr:row>18</xdr:row>
      <xdr:rowOff>62066</xdr:rowOff>
    </xdr:to>
    <xdr:sp macro="" textlink="">
      <xdr:nvSpPr>
        <xdr:cNvPr id="1098" name="Text Box 2">
          <a:extLst>
            <a:ext uri="{FF2B5EF4-FFF2-40B4-BE49-F238E27FC236}">
              <a16:creationId xmlns:a16="http://schemas.microsoft.com/office/drawing/2014/main" id="{7C073115-4192-4361-A999-EE7D39BE3800}"/>
            </a:ext>
          </a:extLst>
        </xdr:cNvPr>
        <xdr:cNvSpPr txBox="1">
          <a:spLocks noChangeArrowheads="1"/>
        </xdr:cNvSpPr>
      </xdr:nvSpPr>
      <xdr:spPr bwMode="auto">
        <a:xfrm>
          <a:off x="203049" y="2755547"/>
          <a:ext cx="1469162" cy="354519"/>
        </a:xfrm>
        <a:prstGeom prst="rect">
          <a:avLst/>
        </a:prstGeom>
        <a:solidFill>
          <a:srgbClr val="282828"/>
        </a:solidFill>
        <a:ln w="9525">
          <a:noFill/>
          <a:miter lim="800000"/>
          <a:headEnd/>
          <a:tailEnd/>
        </a:ln>
      </xdr:spPr>
      <xdr:txBody>
        <a:bodyPr vertOverflow="clip" wrap="square" lIns="27432" tIns="27432" rIns="0" bIns="0" anchor="t" upright="1"/>
        <a:lstStyle/>
        <a:p>
          <a:pPr algn="l" rtl="0">
            <a:defRPr sz="1000"/>
          </a:pPr>
          <a:r>
            <a:rPr lang="en-US" sz="1600" b="1" i="0" u="none" strike="noStrike" baseline="0">
              <a:solidFill>
                <a:schemeClr val="bg1"/>
              </a:solidFill>
              <a:latin typeface="+mn-lt"/>
            </a:rPr>
            <a:t>Communication</a:t>
          </a:r>
        </a:p>
      </xdr:txBody>
    </xdr:sp>
    <xdr:clientData/>
  </xdr:twoCellAnchor>
  <xdr:twoCellAnchor>
    <xdr:from>
      <xdr:col>0</xdr:col>
      <xdr:colOff>219264</xdr:colOff>
      <xdr:row>18</xdr:row>
      <xdr:rowOff>12697</xdr:rowOff>
    </xdr:from>
    <xdr:to>
      <xdr:col>2</xdr:col>
      <xdr:colOff>251922</xdr:colOff>
      <xdr:row>19</xdr:row>
      <xdr:rowOff>155256</xdr:rowOff>
    </xdr:to>
    <xdr:sp macro="" textlink="">
      <xdr:nvSpPr>
        <xdr:cNvPr id="1099" name="Text Box 2">
          <a:extLst>
            <a:ext uri="{FF2B5EF4-FFF2-40B4-BE49-F238E27FC236}">
              <a16:creationId xmlns:a16="http://schemas.microsoft.com/office/drawing/2014/main" id="{899CD146-BE02-4849-AB51-CE61843B82E0}"/>
            </a:ext>
          </a:extLst>
        </xdr:cNvPr>
        <xdr:cNvSpPr txBox="1">
          <a:spLocks noChangeArrowheads="1"/>
        </xdr:cNvSpPr>
      </xdr:nvSpPr>
      <xdr:spPr bwMode="auto">
        <a:xfrm>
          <a:off x="219264" y="3060697"/>
          <a:ext cx="1242182" cy="323988"/>
        </a:xfrm>
        <a:prstGeom prst="rect">
          <a:avLst/>
        </a:prstGeom>
        <a:solidFill>
          <a:srgbClr val="282828"/>
        </a:solidFill>
        <a:ln w="9525">
          <a:noFill/>
          <a:miter lim="800000"/>
          <a:headEnd/>
          <a:tailEnd/>
        </a:ln>
      </xdr:spPr>
      <xdr:txBody>
        <a:bodyPr vertOverflow="clip" wrap="square" lIns="27432" tIns="27432" rIns="0" bIns="0" anchor="t" upright="1"/>
        <a:lstStyle/>
        <a:p>
          <a:pPr algn="l" rtl="0">
            <a:defRPr sz="1000"/>
          </a:pPr>
          <a:r>
            <a:rPr lang="en-US" sz="1600" b="1" i="0" u="none" strike="noStrike" baseline="0">
              <a:solidFill>
                <a:schemeClr val="bg1"/>
              </a:solidFill>
              <a:latin typeface="+mn-lt"/>
            </a:rPr>
            <a:t>Design</a:t>
          </a:r>
          <a:r>
            <a:rPr lang="en-US" sz="1400" b="1" i="0" u="none" strike="noStrike" baseline="0">
              <a:solidFill>
                <a:schemeClr val="bg1"/>
              </a:solidFill>
              <a:latin typeface="+mn-lt"/>
            </a:rPr>
            <a:t> </a:t>
          </a:r>
        </a:p>
      </xdr:txBody>
    </xdr:sp>
    <xdr:clientData/>
  </xdr:twoCellAnchor>
  <xdr:twoCellAnchor>
    <xdr:from>
      <xdr:col>0</xdr:col>
      <xdr:colOff>217086</xdr:colOff>
      <xdr:row>19</xdr:row>
      <xdr:rowOff>138543</xdr:rowOff>
    </xdr:from>
    <xdr:to>
      <xdr:col>2</xdr:col>
      <xdr:colOff>249744</xdr:colOff>
      <xdr:row>21</xdr:row>
      <xdr:rowOff>70050</xdr:rowOff>
    </xdr:to>
    <xdr:sp macro="" textlink="">
      <xdr:nvSpPr>
        <xdr:cNvPr id="1100" name="Text Box 2">
          <a:extLst>
            <a:ext uri="{FF2B5EF4-FFF2-40B4-BE49-F238E27FC236}">
              <a16:creationId xmlns:a16="http://schemas.microsoft.com/office/drawing/2014/main" id="{083A8792-D9EF-4452-B531-28CDB9BEF473}"/>
            </a:ext>
          </a:extLst>
        </xdr:cNvPr>
        <xdr:cNvSpPr txBox="1">
          <a:spLocks noChangeArrowheads="1"/>
        </xdr:cNvSpPr>
      </xdr:nvSpPr>
      <xdr:spPr bwMode="auto">
        <a:xfrm>
          <a:off x="217086" y="3367972"/>
          <a:ext cx="1242182" cy="294364"/>
        </a:xfrm>
        <a:prstGeom prst="rect">
          <a:avLst/>
        </a:prstGeom>
        <a:solidFill>
          <a:srgbClr val="282828"/>
        </a:solidFill>
        <a:ln w="9525">
          <a:noFill/>
          <a:miter lim="800000"/>
          <a:headEnd/>
          <a:tailEnd/>
        </a:ln>
      </xdr:spPr>
      <xdr:txBody>
        <a:bodyPr vertOverflow="clip" wrap="square" lIns="27432" tIns="27432" rIns="0" bIns="0" anchor="t" upright="1"/>
        <a:lstStyle/>
        <a:p>
          <a:pPr algn="l" rtl="0">
            <a:defRPr sz="1000"/>
          </a:pPr>
          <a:r>
            <a:rPr lang="en-US" sz="1600" b="1" i="0" u="none" strike="noStrike" baseline="0">
              <a:solidFill>
                <a:schemeClr val="bg1"/>
              </a:solidFill>
              <a:latin typeface="Aptos Narrow"/>
            </a:rPr>
            <a:t> </a:t>
          </a:r>
          <a:r>
            <a:rPr lang="en-US" sz="1600" b="1" i="0" u="none" strike="noStrike" baseline="0">
              <a:solidFill>
                <a:schemeClr val="bg1"/>
              </a:solidFill>
              <a:latin typeface="+mn-lt"/>
            </a:rPr>
            <a:t>Excel specialists</a:t>
          </a:r>
        </a:p>
        <a:p>
          <a:pPr algn="l" rtl="0">
            <a:defRPr sz="1000"/>
          </a:pPr>
          <a:r>
            <a:rPr lang="en-US" sz="1400" b="1" i="0" u="none" strike="noStrike" baseline="0">
              <a:solidFill>
                <a:schemeClr val="bg1"/>
              </a:solidFill>
              <a:latin typeface="+mn-lt"/>
            </a:rPr>
            <a:t> </a:t>
          </a:r>
        </a:p>
      </xdr:txBody>
    </xdr:sp>
    <xdr:clientData/>
  </xdr:twoCellAnchor>
  <xdr:twoCellAnchor>
    <xdr:from>
      <xdr:col>0</xdr:col>
      <xdr:colOff>204024</xdr:colOff>
      <xdr:row>21</xdr:row>
      <xdr:rowOff>53336</xdr:rowOff>
    </xdr:from>
    <xdr:to>
      <xdr:col>2</xdr:col>
      <xdr:colOff>236682</xdr:colOff>
      <xdr:row>22</xdr:row>
      <xdr:rowOff>109530</xdr:rowOff>
    </xdr:to>
    <xdr:sp macro="" textlink="">
      <xdr:nvSpPr>
        <xdr:cNvPr id="1101" name="Text Box 2">
          <a:extLst>
            <a:ext uri="{FF2B5EF4-FFF2-40B4-BE49-F238E27FC236}">
              <a16:creationId xmlns:a16="http://schemas.microsoft.com/office/drawing/2014/main" id="{AC15EAED-9459-43EA-8B41-390EB6E0D7AB}"/>
            </a:ext>
          </a:extLst>
        </xdr:cNvPr>
        <xdr:cNvSpPr txBox="1">
          <a:spLocks noChangeArrowheads="1"/>
        </xdr:cNvSpPr>
      </xdr:nvSpPr>
      <xdr:spPr bwMode="auto">
        <a:xfrm>
          <a:off x="204024" y="3645622"/>
          <a:ext cx="1242182" cy="237622"/>
        </a:xfrm>
        <a:prstGeom prst="rect">
          <a:avLst/>
        </a:prstGeom>
        <a:solidFill>
          <a:srgbClr val="282828"/>
        </a:solidFill>
        <a:ln w="9525">
          <a:noFill/>
          <a:miter lim="800000"/>
          <a:headEnd/>
          <a:tailEnd/>
        </a:ln>
      </xdr:spPr>
      <xdr:txBody>
        <a:bodyPr vertOverflow="clip" wrap="square" lIns="27432" tIns="27432" rIns="0" bIns="0" anchor="t" upright="1"/>
        <a:lstStyle/>
        <a:p>
          <a:pPr algn="l" rtl="0">
            <a:defRPr sz="1000"/>
          </a:pPr>
          <a:r>
            <a:rPr lang="en-US" sz="1600" b="1" i="0" u="none" strike="noStrike" baseline="0">
              <a:solidFill>
                <a:schemeClr val="bg1"/>
              </a:solidFill>
              <a:latin typeface="Aptos Narrow"/>
            </a:rPr>
            <a:t> </a:t>
          </a:r>
          <a:r>
            <a:rPr lang="en-US" sz="1600" b="1" i="0" u="none" strike="noStrike" baseline="0">
              <a:solidFill>
                <a:schemeClr val="bg1"/>
              </a:solidFill>
              <a:latin typeface="+mn-lt"/>
            </a:rPr>
            <a:t>Management</a:t>
          </a:r>
        </a:p>
      </xdr:txBody>
    </xdr:sp>
    <xdr:clientData/>
  </xdr:twoCellAnchor>
  <xdr:twoCellAnchor>
    <xdr:from>
      <xdr:col>0</xdr:col>
      <xdr:colOff>234503</xdr:colOff>
      <xdr:row>23</xdr:row>
      <xdr:rowOff>8814</xdr:rowOff>
    </xdr:from>
    <xdr:to>
      <xdr:col>2</xdr:col>
      <xdr:colOff>267161</xdr:colOff>
      <xdr:row>24</xdr:row>
      <xdr:rowOff>109761</xdr:rowOff>
    </xdr:to>
    <xdr:sp macro="" textlink="">
      <xdr:nvSpPr>
        <xdr:cNvPr id="1102" name="Text Box 2">
          <a:extLst>
            <a:ext uri="{FF2B5EF4-FFF2-40B4-BE49-F238E27FC236}">
              <a16:creationId xmlns:a16="http://schemas.microsoft.com/office/drawing/2014/main" id="{D0ADD367-DB9D-47AC-A063-AB5C2B9A5274}"/>
            </a:ext>
          </a:extLst>
        </xdr:cNvPr>
        <xdr:cNvSpPr txBox="1">
          <a:spLocks noChangeArrowheads="1"/>
        </xdr:cNvSpPr>
      </xdr:nvSpPr>
      <xdr:spPr bwMode="auto">
        <a:xfrm>
          <a:off x="234503" y="3963957"/>
          <a:ext cx="1242182" cy="270280"/>
        </a:xfrm>
        <a:prstGeom prst="rect">
          <a:avLst/>
        </a:prstGeom>
        <a:solidFill>
          <a:srgbClr val="282828"/>
        </a:solidFill>
        <a:ln w="9525">
          <a:noFill/>
          <a:miter lim="800000"/>
          <a:headEnd/>
          <a:tailEnd/>
        </a:ln>
      </xdr:spPr>
      <xdr:txBody>
        <a:bodyPr vertOverflow="clip" wrap="square" lIns="27432" tIns="27432" rIns="0" bIns="0" anchor="t" upright="1"/>
        <a:lstStyle/>
        <a:p>
          <a:pPr algn="l" rtl="0">
            <a:defRPr sz="1000"/>
          </a:pPr>
          <a:r>
            <a:rPr lang="en-US" sz="1600" b="1" i="0" u="none" strike="noStrike" baseline="0">
              <a:solidFill>
                <a:schemeClr val="bg1"/>
              </a:solidFill>
              <a:latin typeface="+mn-lt"/>
            </a:rPr>
            <a:t>Python</a:t>
          </a:r>
          <a:r>
            <a:rPr lang="en-US" sz="1400" b="1" i="0" u="none" strike="noStrike" baseline="0">
              <a:solidFill>
                <a:schemeClr val="bg1"/>
              </a:solidFill>
              <a:latin typeface="+mn-lt"/>
            </a:rPr>
            <a:t> </a:t>
          </a:r>
        </a:p>
      </xdr:txBody>
    </xdr:sp>
    <xdr:clientData/>
  </xdr:twoCellAnchor>
  <xdr:twoCellAnchor>
    <xdr:from>
      <xdr:col>2</xdr:col>
      <xdr:colOff>431487</xdr:colOff>
      <xdr:row>16</xdr:row>
      <xdr:rowOff>90847</xdr:rowOff>
    </xdr:from>
    <xdr:to>
      <xdr:col>3</xdr:col>
      <xdr:colOff>110121</xdr:colOff>
      <xdr:row>18</xdr:row>
      <xdr:rowOff>46214</xdr:rowOff>
    </xdr:to>
    <xdr:sp macro="" textlink="'pivot table'!U12">
      <xdr:nvSpPr>
        <xdr:cNvPr id="1103" name="Text Box 2">
          <a:extLst>
            <a:ext uri="{FF2B5EF4-FFF2-40B4-BE49-F238E27FC236}">
              <a16:creationId xmlns:a16="http://schemas.microsoft.com/office/drawing/2014/main" id="{C36FA80D-1C62-4EB2-9D19-BAD88B76AA97}"/>
            </a:ext>
          </a:extLst>
        </xdr:cNvPr>
        <xdr:cNvSpPr txBox="1">
          <a:spLocks noChangeArrowheads="1"/>
        </xdr:cNvSpPr>
      </xdr:nvSpPr>
      <xdr:spPr bwMode="auto">
        <a:xfrm>
          <a:off x="1641011" y="2800180"/>
          <a:ext cx="283396" cy="294034"/>
        </a:xfrm>
        <a:prstGeom prst="rect">
          <a:avLst/>
        </a:prstGeom>
        <a:solidFill>
          <a:srgbClr val="282828"/>
        </a:solidFill>
        <a:ln w="9525">
          <a:noFill/>
          <a:miter lim="800000"/>
          <a:headEnd/>
          <a:tailEnd/>
        </a:ln>
      </xdr:spPr>
      <xdr:txBody>
        <a:bodyPr vertOverflow="clip" wrap="square" lIns="27432" tIns="27432" rIns="0" bIns="0" anchor="t" upright="1"/>
        <a:lstStyle/>
        <a:p>
          <a:pPr algn="l" rtl="0">
            <a:defRPr sz="1000"/>
          </a:pPr>
          <a:fld id="{226CC433-3260-4E14-9566-FE93BE6A2D4A}" type="TxLink">
            <a:rPr lang="en-US" sz="1400" b="1" i="0" u="none" strike="noStrike" baseline="0">
              <a:solidFill>
                <a:schemeClr val="bg1"/>
              </a:solidFill>
              <a:latin typeface="Aptos Narrow"/>
            </a:rPr>
            <a:t>12</a:t>
          </a:fld>
          <a:endParaRPr lang="en-US" sz="2000" b="1" i="0" u="none" strike="noStrike" baseline="0">
            <a:solidFill>
              <a:schemeClr val="bg1"/>
            </a:solidFill>
            <a:latin typeface="+mn-lt"/>
          </a:endParaRPr>
        </a:p>
      </xdr:txBody>
    </xdr:sp>
    <xdr:clientData/>
  </xdr:twoCellAnchor>
  <xdr:twoCellAnchor>
    <xdr:from>
      <xdr:col>2</xdr:col>
      <xdr:colOff>450366</xdr:colOff>
      <xdr:row>19</xdr:row>
      <xdr:rowOff>179843</xdr:rowOff>
    </xdr:from>
    <xdr:to>
      <xdr:col>3</xdr:col>
      <xdr:colOff>189733</xdr:colOff>
      <xdr:row>21</xdr:row>
      <xdr:rowOff>124382</xdr:rowOff>
    </xdr:to>
    <xdr:sp macro="" textlink="'pivot table'!U14">
      <xdr:nvSpPr>
        <xdr:cNvPr id="1106" name="Text Box 2">
          <a:extLst>
            <a:ext uri="{FF2B5EF4-FFF2-40B4-BE49-F238E27FC236}">
              <a16:creationId xmlns:a16="http://schemas.microsoft.com/office/drawing/2014/main" id="{896D71C3-BAC8-CD7C-E6E9-40FA0C4F11EA}"/>
            </a:ext>
          </a:extLst>
        </xdr:cNvPr>
        <xdr:cNvSpPr txBox="1">
          <a:spLocks noChangeArrowheads="1"/>
        </xdr:cNvSpPr>
      </xdr:nvSpPr>
      <xdr:spPr bwMode="auto">
        <a:xfrm>
          <a:off x="1659890" y="3409272"/>
          <a:ext cx="344129" cy="307396"/>
        </a:xfrm>
        <a:prstGeom prst="rect">
          <a:avLst/>
        </a:prstGeom>
        <a:noFill/>
        <a:ln w="9525">
          <a:noFill/>
          <a:miter lim="800000"/>
          <a:headEnd/>
          <a:tailEnd/>
        </a:ln>
      </xdr:spPr>
      <xdr:txBody>
        <a:bodyPr vertOverflow="clip" wrap="square" lIns="27432" tIns="27432" rIns="0" bIns="0" anchor="t" upright="1"/>
        <a:lstStyle/>
        <a:p>
          <a:pPr algn="l" rtl="0">
            <a:defRPr sz="1000"/>
          </a:pPr>
          <a:fld id="{31CDF58E-73AF-401B-B11E-57E867EEC23B}" type="TxLink">
            <a:rPr lang="en-US" sz="1400" b="1" i="0" u="none" strike="noStrike" baseline="0">
              <a:solidFill>
                <a:schemeClr val="bg1"/>
              </a:solidFill>
              <a:latin typeface="Aptos Narrow"/>
            </a:rPr>
            <a:t>7</a:t>
          </a:fld>
          <a:endParaRPr lang="en-US" sz="2400" b="1" i="0" u="none" strike="noStrike" baseline="0">
            <a:solidFill>
              <a:schemeClr val="bg1"/>
            </a:solidFill>
            <a:latin typeface="+mn-lt"/>
          </a:endParaRPr>
        </a:p>
      </xdr:txBody>
    </xdr:sp>
    <xdr:clientData/>
  </xdr:twoCellAnchor>
  <xdr:twoCellAnchor>
    <xdr:from>
      <xdr:col>2</xdr:col>
      <xdr:colOff>411112</xdr:colOff>
      <xdr:row>21</xdr:row>
      <xdr:rowOff>82577</xdr:rowOff>
    </xdr:from>
    <xdr:to>
      <xdr:col>3</xdr:col>
      <xdr:colOff>167380</xdr:colOff>
      <xdr:row>22</xdr:row>
      <xdr:rowOff>99833</xdr:rowOff>
    </xdr:to>
    <xdr:sp macro="" textlink="'pivot table'!U15">
      <xdr:nvSpPr>
        <xdr:cNvPr id="1107" name="Text Box 2">
          <a:extLst>
            <a:ext uri="{FF2B5EF4-FFF2-40B4-BE49-F238E27FC236}">
              <a16:creationId xmlns:a16="http://schemas.microsoft.com/office/drawing/2014/main" id="{A9C87C74-454C-42EC-A041-1DFE4AF99CDB}"/>
            </a:ext>
          </a:extLst>
        </xdr:cNvPr>
        <xdr:cNvSpPr txBox="1">
          <a:spLocks noChangeArrowheads="1"/>
        </xdr:cNvSpPr>
      </xdr:nvSpPr>
      <xdr:spPr bwMode="auto">
        <a:xfrm>
          <a:off x="1620636" y="3674863"/>
          <a:ext cx="361030" cy="198684"/>
        </a:xfrm>
        <a:prstGeom prst="rect">
          <a:avLst/>
        </a:prstGeom>
        <a:noFill/>
        <a:ln w="9525">
          <a:noFill/>
          <a:miter lim="800000"/>
          <a:headEnd/>
          <a:tailEnd/>
        </a:ln>
      </xdr:spPr>
      <xdr:txBody>
        <a:bodyPr vertOverflow="clip" wrap="square" lIns="27432" tIns="27432" rIns="0" bIns="0" anchor="t" upright="1"/>
        <a:lstStyle/>
        <a:p>
          <a:pPr algn="l" rtl="0">
            <a:defRPr sz="1000"/>
          </a:pPr>
          <a:fld id="{993B9F36-1BF6-4022-8735-2683288D77CF}" type="TxLink">
            <a:rPr lang="en-US" sz="1400" b="1" i="0" u="none" strike="noStrike" baseline="0">
              <a:solidFill>
                <a:schemeClr val="bg1"/>
              </a:solidFill>
              <a:latin typeface="Aptos Narrow"/>
            </a:rPr>
            <a:t>11</a:t>
          </a:fld>
          <a:endParaRPr lang="en-US" sz="2000" b="1" i="0" u="none" strike="noStrike" baseline="0">
            <a:solidFill>
              <a:schemeClr val="bg1"/>
            </a:solidFill>
            <a:latin typeface="+mn-lt"/>
          </a:endParaRPr>
        </a:p>
      </xdr:txBody>
    </xdr:sp>
    <xdr:clientData/>
  </xdr:twoCellAnchor>
  <xdr:twoCellAnchor>
    <xdr:from>
      <xdr:col>2</xdr:col>
      <xdr:colOff>409423</xdr:colOff>
      <xdr:row>23</xdr:row>
      <xdr:rowOff>37084</xdr:rowOff>
    </xdr:from>
    <xdr:to>
      <xdr:col>3</xdr:col>
      <xdr:colOff>76001</xdr:colOff>
      <xdr:row>24</xdr:row>
      <xdr:rowOff>147850</xdr:rowOff>
    </xdr:to>
    <xdr:sp macro="" textlink="'pivot table'!U16">
      <xdr:nvSpPr>
        <xdr:cNvPr id="1108" name="Text Box 2">
          <a:extLst>
            <a:ext uri="{FF2B5EF4-FFF2-40B4-BE49-F238E27FC236}">
              <a16:creationId xmlns:a16="http://schemas.microsoft.com/office/drawing/2014/main" id="{9B9607F0-E445-4B96-8513-8F3355D1545D}"/>
            </a:ext>
          </a:extLst>
        </xdr:cNvPr>
        <xdr:cNvSpPr txBox="1">
          <a:spLocks noChangeArrowheads="1"/>
        </xdr:cNvSpPr>
      </xdr:nvSpPr>
      <xdr:spPr bwMode="auto">
        <a:xfrm>
          <a:off x="1618947" y="3992227"/>
          <a:ext cx="271340" cy="280099"/>
        </a:xfrm>
        <a:prstGeom prst="rect">
          <a:avLst/>
        </a:prstGeom>
        <a:noFill/>
        <a:ln w="9525">
          <a:noFill/>
          <a:miter lim="800000"/>
          <a:headEnd/>
          <a:tailEnd/>
        </a:ln>
      </xdr:spPr>
      <xdr:txBody>
        <a:bodyPr vertOverflow="clip" wrap="square" lIns="27432" tIns="27432" rIns="0" bIns="0" anchor="t" upright="1"/>
        <a:lstStyle/>
        <a:p>
          <a:pPr algn="l" rtl="0">
            <a:defRPr sz="1000"/>
          </a:pPr>
          <a:fld id="{48515EFF-D48E-4CF0-AA73-C0A1F3B06C91}" type="TxLink">
            <a:rPr lang="en-US" sz="1400" b="1" i="0" u="none" strike="noStrike" baseline="0">
              <a:solidFill>
                <a:schemeClr val="bg1"/>
              </a:solidFill>
              <a:latin typeface="Aptos Narrow"/>
            </a:rPr>
            <a:t>9</a:t>
          </a:fld>
          <a:endParaRPr lang="en-US" sz="2400" b="1" i="0" u="none" strike="noStrike" baseline="0">
            <a:solidFill>
              <a:schemeClr val="bg1"/>
            </a:solidFill>
            <a:latin typeface="+mn-lt"/>
          </a:endParaRPr>
        </a:p>
      </xdr:txBody>
    </xdr:sp>
    <xdr:clientData/>
  </xdr:twoCellAnchor>
  <xdr:twoCellAnchor>
    <xdr:from>
      <xdr:col>2</xdr:col>
      <xdr:colOff>417936</xdr:colOff>
      <xdr:row>18</xdr:row>
      <xdr:rowOff>79471</xdr:rowOff>
    </xdr:from>
    <xdr:to>
      <xdr:col>3</xdr:col>
      <xdr:colOff>178360</xdr:colOff>
      <xdr:row>20</xdr:row>
      <xdr:rowOff>67516</xdr:rowOff>
    </xdr:to>
    <xdr:sp macro="" textlink="'pivot table'!U13">
      <xdr:nvSpPr>
        <xdr:cNvPr id="1110" name="Text Box 2">
          <a:extLst>
            <a:ext uri="{FF2B5EF4-FFF2-40B4-BE49-F238E27FC236}">
              <a16:creationId xmlns:a16="http://schemas.microsoft.com/office/drawing/2014/main" id="{482574B5-9F17-811C-F419-3704F5C1A545}"/>
            </a:ext>
          </a:extLst>
        </xdr:cNvPr>
        <xdr:cNvSpPr txBox="1">
          <a:spLocks noChangeArrowheads="1"/>
        </xdr:cNvSpPr>
      </xdr:nvSpPr>
      <xdr:spPr bwMode="auto">
        <a:xfrm>
          <a:off x="1627460" y="3127471"/>
          <a:ext cx="365186" cy="350902"/>
        </a:xfrm>
        <a:prstGeom prst="rect">
          <a:avLst/>
        </a:prstGeom>
        <a:noFill/>
        <a:ln w="9525">
          <a:noFill/>
          <a:miter lim="800000"/>
          <a:headEnd/>
          <a:tailEnd/>
        </a:ln>
      </xdr:spPr>
      <xdr:txBody>
        <a:bodyPr vertOverflow="clip" wrap="square" lIns="27432" tIns="27432" rIns="0" bIns="0" anchor="t" upright="1"/>
        <a:lstStyle/>
        <a:p>
          <a:pPr algn="l" rtl="0">
            <a:defRPr sz="1000"/>
          </a:pPr>
          <a:fld id="{B5DF3689-A9B1-4CD9-A1DC-C2BAEFD40805}" type="TxLink">
            <a:rPr lang="en-US" sz="1400" b="1" i="0" u="none" strike="noStrike" baseline="0">
              <a:solidFill>
                <a:schemeClr val="bg1"/>
              </a:solidFill>
              <a:latin typeface="Aptos Narrow"/>
            </a:rPr>
            <a:t>11</a:t>
          </a:fld>
          <a:endParaRPr lang="en-US" sz="2000" b="1" i="0" u="none" strike="noStrike" baseline="0">
            <a:solidFill>
              <a:schemeClr val="bg1"/>
            </a:solidFill>
            <a:latin typeface="+mn-lt"/>
          </a:endParaRPr>
        </a:p>
      </xdr:txBody>
    </xdr:sp>
    <xdr:clientData/>
  </xdr:twoCellAnchor>
  <xdr:twoCellAnchor>
    <xdr:from>
      <xdr:col>0</xdr:col>
      <xdr:colOff>135786</xdr:colOff>
      <xdr:row>10</xdr:row>
      <xdr:rowOff>136336</xdr:rowOff>
    </xdr:from>
    <xdr:to>
      <xdr:col>3</xdr:col>
      <xdr:colOff>178360</xdr:colOff>
      <xdr:row>16</xdr:row>
      <xdr:rowOff>46213</xdr:rowOff>
    </xdr:to>
    <xdr:sp macro="" textlink="">
      <xdr:nvSpPr>
        <xdr:cNvPr id="1113" name="TextBox 1112">
          <a:extLst>
            <a:ext uri="{FF2B5EF4-FFF2-40B4-BE49-F238E27FC236}">
              <a16:creationId xmlns:a16="http://schemas.microsoft.com/office/drawing/2014/main" id="{0777D882-2FD5-45FB-886D-F7CAC3E8704B}"/>
            </a:ext>
          </a:extLst>
        </xdr:cNvPr>
        <xdr:cNvSpPr txBox="1"/>
      </xdr:nvSpPr>
      <xdr:spPr>
        <a:xfrm>
          <a:off x="135786" y="1829669"/>
          <a:ext cx="1856860" cy="9258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2800" b="1" i="0" baseline="0">
              <a:solidFill>
                <a:srgbClr val="008DFF"/>
              </a:solidFill>
              <a:effectLst/>
              <a:latin typeface="+mn-lt"/>
              <a:ea typeface="+mn-ea"/>
              <a:cs typeface="+mn-cs"/>
            </a:rPr>
            <a:t>Skills</a:t>
          </a:r>
          <a:r>
            <a:rPr lang="en-US" sz="2400" b="1" i="0" baseline="0">
              <a:solidFill>
                <a:srgbClr val="008DFF"/>
              </a:solidFill>
              <a:effectLst/>
              <a:latin typeface="+mn-lt"/>
              <a:ea typeface="+mn-ea"/>
              <a:cs typeface="+mn-cs"/>
            </a:rPr>
            <a:t> BreakDown</a:t>
          </a:r>
          <a:endParaRPr lang="ar-EG" sz="2400" b="1" i="0" baseline="0">
            <a:solidFill>
              <a:srgbClr val="008DFF"/>
            </a:solidFill>
            <a:effectLst/>
            <a:latin typeface="+mn-lt"/>
            <a:ea typeface="+mn-ea"/>
            <a:cs typeface="+mn-cs"/>
          </a:endParaRPr>
        </a:p>
      </xdr:txBody>
    </xdr:sp>
    <xdr:clientData/>
  </xdr:twoCellAnchor>
  <xdr:twoCellAnchor>
    <xdr:from>
      <xdr:col>1</xdr:col>
      <xdr:colOff>303466</xdr:colOff>
      <xdr:row>6</xdr:row>
      <xdr:rowOff>158350</xdr:rowOff>
    </xdr:from>
    <xdr:to>
      <xdr:col>3</xdr:col>
      <xdr:colOff>235228</xdr:colOff>
      <xdr:row>13</xdr:row>
      <xdr:rowOff>124233</xdr:rowOff>
    </xdr:to>
    <xdr:pic>
      <xdr:nvPicPr>
        <xdr:cNvPr id="1115" name="Picture 1114">
          <a:extLst>
            <a:ext uri="{FF2B5EF4-FFF2-40B4-BE49-F238E27FC236}">
              <a16:creationId xmlns:a16="http://schemas.microsoft.com/office/drawing/2014/main" id="{FEC89672-7DB0-7B7D-1AC2-BEE70DA820CC}"/>
            </a:ext>
          </a:extLst>
        </xdr:cNvPr>
        <xdr:cNvPicPr>
          <a:picLocks noChangeAspect="1"/>
        </xdr:cNvPicPr>
      </xdr:nvPicPr>
      <xdr:blipFill>
        <a:blip xmlns:r="http://schemas.openxmlformats.org/officeDocument/2006/relationships" r:embed="rId6"/>
        <a:stretch>
          <a:fillRect/>
        </a:stretch>
      </xdr:blipFill>
      <xdr:spPr>
        <a:xfrm>
          <a:off x="908228" y="1174350"/>
          <a:ext cx="1141286" cy="1151216"/>
        </a:xfrm>
        <a:prstGeom prst="rect">
          <a:avLst/>
        </a:prstGeom>
      </xdr:spPr>
    </xdr:pic>
    <xdr:clientData/>
  </xdr:twoCellAnchor>
  <xdr:twoCellAnchor>
    <xdr:from>
      <xdr:col>3</xdr:col>
      <xdr:colOff>394447</xdr:colOff>
      <xdr:row>6</xdr:row>
      <xdr:rowOff>114451</xdr:rowOff>
    </xdr:from>
    <xdr:to>
      <xdr:col>7</xdr:col>
      <xdr:colOff>246597</xdr:colOff>
      <xdr:row>14</xdr:row>
      <xdr:rowOff>103078</xdr:rowOff>
    </xdr:to>
    <xdr:sp macro="" textlink="">
      <xdr:nvSpPr>
        <xdr:cNvPr id="1122" name="TextBox 1121">
          <a:extLst>
            <a:ext uri="{FF2B5EF4-FFF2-40B4-BE49-F238E27FC236}">
              <a16:creationId xmlns:a16="http://schemas.microsoft.com/office/drawing/2014/main" id="{C2D5815F-45C6-1641-A09E-2DE5BCDABABC}"/>
            </a:ext>
          </a:extLst>
        </xdr:cNvPr>
        <xdr:cNvSpPr txBox="1"/>
      </xdr:nvSpPr>
      <xdr:spPr>
        <a:xfrm>
          <a:off x="2208733" y="1130451"/>
          <a:ext cx="2271197" cy="13432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baseline="0">
              <a:solidFill>
                <a:srgbClr val="008DFF"/>
              </a:solidFill>
            </a:rPr>
            <a:t>Employees </a:t>
          </a:r>
          <a:r>
            <a:rPr lang="en-US" sz="2000" b="1">
              <a:solidFill>
                <a:srgbClr val="008DFF"/>
              </a:solidFill>
              <a:effectLst/>
              <a:latin typeface="+mn-lt"/>
              <a:ea typeface="+mn-ea"/>
              <a:cs typeface="+mn-cs"/>
            </a:rPr>
            <a:t>Number</a:t>
          </a:r>
        </a:p>
        <a:p>
          <a:r>
            <a:rPr lang="en-US" sz="4400" b="1">
              <a:solidFill>
                <a:schemeClr val="bg1"/>
              </a:solidFill>
              <a:effectLst/>
              <a:latin typeface="+mn-lt"/>
              <a:ea typeface="+mn-ea"/>
              <a:cs typeface="+mn-cs"/>
            </a:rPr>
            <a:t> 50</a:t>
          </a:r>
          <a:endParaRPr lang="en-US" sz="2000" b="1">
            <a:solidFill>
              <a:schemeClr val="bg1"/>
            </a:solidFill>
            <a:effectLst/>
            <a:latin typeface="+mn-lt"/>
            <a:ea typeface="+mn-ea"/>
            <a:cs typeface="+mn-cs"/>
          </a:endParaRPr>
        </a:p>
        <a:p>
          <a:r>
            <a:rPr lang="en-US" sz="1400" b="1">
              <a:solidFill>
                <a:schemeClr val="bg2">
                  <a:lumMod val="90000"/>
                </a:schemeClr>
              </a:solidFill>
              <a:effectLst/>
              <a:latin typeface="+mn-lt"/>
              <a:ea typeface="+mn-ea"/>
              <a:cs typeface="+mn-cs"/>
            </a:rPr>
            <a:t>    total</a:t>
          </a:r>
          <a:r>
            <a:rPr lang="en-US" sz="1400" b="1" baseline="0">
              <a:solidFill>
                <a:schemeClr val="bg2">
                  <a:lumMod val="90000"/>
                </a:schemeClr>
              </a:solidFill>
              <a:effectLst/>
              <a:latin typeface="+mn-lt"/>
              <a:ea typeface="+mn-ea"/>
              <a:cs typeface="+mn-cs"/>
            </a:rPr>
            <a:t> employee</a:t>
          </a:r>
          <a:endParaRPr lang="en-US" sz="1400" b="1">
            <a:solidFill>
              <a:schemeClr val="bg2">
                <a:lumMod val="90000"/>
              </a:schemeClr>
            </a:solidFill>
          </a:endParaRPr>
        </a:p>
      </xdr:txBody>
    </xdr:sp>
    <xdr:clientData/>
  </xdr:twoCellAnchor>
  <xdr:twoCellAnchor>
    <xdr:from>
      <xdr:col>5</xdr:col>
      <xdr:colOff>578406</xdr:colOff>
      <xdr:row>8</xdr:row>
      <xdr:rowOff>1985</xdr:rowOff>
    </xdr:from>
    <xdr:to>
      <xdr:col>7</xdr:col>
      <xdr:colOff>358738</xdr:colOff>
      <xdr:row>13</xdr:row>
      <xdr:rowOff>146979</xdr:rowOff>
    </xdr:to>
    <xdr:pic>
      <xdr:nvPicPr>
        <xdr:cNvPr id="1124" name="Picture 1123">
          <a:extLst>
            <a:ext uri="{FF2B5EF4-FFF2-40B4-BE49-F238E27FC236}">
              <a16:creationId xmlns:a16="http://schemas.microsoft.com/office/drawing/2014/main" id="{A575815E-E833-F3BD-29AE-741AE164FF81}"/>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3602216" y="1356652"/>
          <a:ext cx="989855" cy="991660"/>
        </a:xfrm>
        <a:prstGeom prst="rect">
          <a:avLst/>
        </a:prstGeom>
      </xdr:spPr>
    </xdr:pic>
    <xdr:clientData/>
  </xdr:twoCellAnchor>
  <xdr:twoCellAnchor>
    <xdr:from>
      <xdr:col>5</xdr:col>
      <xdr:colOff>223854</xdr:colOff>
      <xdr:row>16</xdr:row>
      <xdr:rowOff>46215</xdr:rowOff>
    </xdr:from>
    <xdr:to>
      <xdr:col>7</xdr:col>
      <xdr:colOff>462689</xdr:colOff>
      <xdr:row>22</xdr:row>
      <xdr:rowOff>67515</xdr:rowOff>
    </xdr:to>
    <xdr:graphicFrame macro="">
      <xdr:nvGraphicFramePr>
        <xdr:cNvPr id="1125" name="Chart 1124">
          <a:extLst>
            <a:ext uri="{FF2B5EF4-FFF2-40B4-BE49-F238E27FC236}">
              <a16:creationId xmlns:a16="http://schemas.microsoft.com/office/drawing/2014/main" id="{EA2C383D-CFE5-4251-B27B-F122657B65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178360</xdr:colOff>
      <xdr:row>16</xdr:row>
      <xdr:rowOff>57587</xdr:rowOff>
    </xdr:from>
    <xdr:to>
      <xdr:col>5</xdr:col>
      <xdr:colOff>462689</xdr:colOff>
      <xdr:row>22</xdr:row>
      <xdr:rowOff>56143</xdr:rowOff>
    </xdr:to>
    <xdr:graphicFrame macro="">
      <xdr:nvGraphicFramePr>
        <xdr:cNvPr id="1126" name="Chart 1125">
          <a:extLst>
            <a:ext uri="{FF2B5EF4-FFF2-40B4-BE49-F238E27FC236}">
              <a16:creationId xmlns:a16="http://schemas.microsoft.com/office/drawing/2014/main" id="{F1EF610D-C854-4A74-8CFC-10813FF351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xdr:col>
      <xdr:colOff>405822</xdr:colOff>
      <xdr:row>14</xdr:row>
      <xdr:rowOff>137199</xdr:rowOff>
    </xdr:from>
    <xdr:to>
      <xdr:col>5</xdr:col>
      <xdr:colOff>53255</xdr:colOff>
      <xdr:row>16</xdr:row>
      <xdr:rowOff>114454</xdr:rowOff>
    </xdr:to>
    <xdr:sp macro="" textlink="">
      <xdr:nvSpPr>
        <xdr:cNvPr id="1128" name="TextBox 1127">
          <a:extLst>
            <a:ext uri="{FF2B5EF4-FFF2-40B4-BE49-F238E27FC236}">
              <a16:creationId xmlns:a16="http://schemas.microsoft.com/office/drawing/2014/main" id="{1948AC06-AA0B-21CA-D97C-5C041EB668B7}"/>
            </a:ext>
          </a:extLst>
        </xdr:cNvPr>
        <xdr:cNvSpPr txBox="1"/>
      </xdr:nvSpPr>
      <xdr:spPr>
        <a:xfrm>
          <a:off x="2220108" y="2507866"/>
          <a:ext cx="856957" cy="3159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chemeClr val="bg1"/>
              </a:solidFill>
            </a:rPr>
            <a:t>Males</a:t>
          </a:r>
          <a:endParaRPr lang="en-US" sz="1800" b="1">
            <a:solidFill>
              <a:schemeClr val="bg1"/>
            </a:solidFill>
          </a:endParaRPr>
        </a:p>
      </xdr:txBody>
    </xdr:sp>
    <xdr:clientData/>
  </xdr:twoCellAnchor>
  <xdr:twoCellAnchor>
    <xdr:from>
      <xdr:col>5</xdr:col>
      <xdr:colOff>419789</xdr:colOff>
      <xdr:row>14</xdr:row>
      <xdr:rowOff>125826</xdr:rowOff>
    </xdr:from>
    <xdr:to>
      <xdr:col>7</xdr:col>
      <xdr:colOff>417195</xdr:colOff>
      <xdr:row>16</xdr:row>
      <xdr:rowOff>151209</xdr:rowOff>
    </xdr:to>
    <xdr:sp macro="" textlink="">
      <xdr:nvSpPr>
        <xdr:cNvPr id="1129" name="TextBox 1128">
          <a:extLst>
            <a:ext uri="{FF2B5EF4-FFF2-40B4-BE49-F238E27FC236}">
              <a16:creationId xmlns:a16="http://schemas.microsoft.com/office/drawing/2014/main" id="{C8B10E95-7DD3-4447-BA7A-4C81D88F1337}"/>
            </a:ext>
          </a:extLst>
        </xdr:cNvPr>
        <xdr:cNvSpPr txBox="1"/>
      </xdr:nvSpPr>
      <xdr:spPr>
        <a:xfrm>
          <a:off x="3443599" y="2496493"/>
          <a:ext cx="1206929" cy="3640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rgbClr val="008DFF"/>
              </a:solidFill>
            </a:rPr>
            <a:t>Females</a:t>
          </a:r>
          <a:endParaRPr lang="en-US" sz="1800" b="1">
            <a:solidFill>
              <a:srgbClr val="008DFF"/>
            </a:solidFill>
          </a:endParaRPr>
        </a:p>
      </xdr:txBody>
    </xdr:sp>
    <xdr:clientData/>
  </xdr:twoCellAnchor>
  <xdr:twoCellAnchor>
    <xdr:from>
      <xdr:col>4</xdr:col>
      <xdr:colOff>41882</xdr:colOff>
      <xdr:row>18</xdr:row>
      <xdr:rowOff>46214</xdr:rowOff>
    </xdr:from>
    <xdr:to>
      <xdr:col>5</xdr:col>
      <xdr:colOff>201106</xdr:colOff>
      <xdr:row>20</xdr:row>
      <xdr:rowOff>135755</xdr:rowOff>
    </xdr:to>
    <xdr:sp macro="" textlink="'pivot table'!K20">
      <xdr:nvSpPr>
        <xdr:cNvPr id="1131" name="TextBox 1130">
          <a:extLst>
            <a:ext uri="{FF2B5EF4-FFF2-40B4-BE49-F238E27FC236}">
              <a16:creationId xmlns:a16="http://schemas.microsoft.com/office/drawing/2014/main" id="{C102C405-3BA5-A8F6-087D-B6B307FD36BC}"/>
            </a:ext>
          </a:extLst>
        </xdr:cNvPr>
        <xdr:cNvSpPr txBox="1"/>
      </xdr:nvSpPr>
      <xdr:spPr>
        <a:xfrm>
          <a:off x="2460930" y="3094214"/>
          <a:ext cx="763986" cy="4523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E942D52-CAFD-4999-B1B7-FD10C187D778}" type="TxLink">
            <a:rPr lang="en-US" sz="1800" b="1" i="0" u="none" strike="noStrike">
              <a:solidFill>
                <a:schemeClr val="bg1"/>
              </a:solidFill>
              <a:latin typeface="Aptos Narrow"/>
            </a:rPr>
            <a:t>52%</a:t>
          </a:fld>
          <a:endParaRPr lang="en-US" sz="1800" b="1">
            <a:solidFill>
              <a:schemeClr val="bg1"/>
            </a:solidFill>
          </a:endParaRPr>
        </a:p>
      </xdr:txBody>
    </xdr:sp>
    <xdr:clientData/>
  </xdr:twoCellAnchor>
  <xdr:twoCellAnchor>
    <xdr:from>
      <xdr:col>6</xdr:col>
      <xdr:colOff>66083</xdr:colOff>
      <xdr:row>18</xdr:row>
      <xdr:rowOff>49808</xdr:rowOff>
    </xdr:from>
    <xdr:to>
      <xdr:col>7</xdr:col>
      <xdr:colOff>225307</xdr:colOff>
      <xdr:row>20</xdr:row>
      <xdr:rowOff>139349</xdr:rowOff>
    </xdr:to>
    <xdr:sp macro="" textlink="'pivot table'!K19">
      <xdr:nvSpPr>
        <xdr:cNvPr id="1132" name="TextBox 1131">
          <a:extLst>
            <a:ext uri="{FF2B5EF4-FFF2-40B4-BE49-F238E27FC236}">
              <a16:creationId xmlns:a16="http://schemas.microsoft.com/office/drawing/2014/main" id="{3442163A-8E01-4200-9FF8-1902C3E4D760}"/>
            </a:ext>
          </a:extLst>
        </xdr:cNvPr>
        <xdr:cNvSpPr txBox="1"/>
      </xdr:nvSpPr>
      <xdr:spPr>
        <a:xfrm>
          <a:off x="3694654" y="3097808"/>
          <a:ext cx="763986" cy="4523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4C66F86-5F7E-4BAC-B638-3BCAA670AC77}" type="TxLink">
            <a:rPr lang="en-US" sz="1800" b="1" i="0" u="none" strike="noStrike">
              <a:solidFill>
                <a:srgbClr val="008DFF"/>
              </a:solidFill>
              <a:latin typeface="Aptos Narrow"/>
            </a:rPr>
            <a:t>48%</a:t>
          </a:fld>
          <a:endParaRPr lang="en-US" sz="2800" b="1">
            <a:solidFill>
              <a:srgbClr val="008DFF"/>
            </a:solidFill>
          </a:endParaRPr>
        </a:p>
      </xdr:txBody>
    </xdr:sp>
    <xdr:clientData/>
  </xdr:twoCellAnchor>
  <xdr:twoCellAnchor>
    <xdr:from>
      <xdr:col>7</xdr:col>
      <xdr:colOff>475516</xdr:colOff>
      <xdr:row>8</xdr:row>
      <xdr:rowOff>80333</xdr:rowOff>
    </xdr:from>
    <xdr:to>
      <xdr:col>11</xdr:col>
      <xdr:colOff>485434</xdr:colOff>
      <xdr:row>22</xdr:row>
      <xdr:rowOff>96130</xdr:rowOff>
    </xdr:to>
    <xdr:graphicFrame macro="">
      <xdr:nvGraphicFramePr>
        <xdr:cNvPr id="1133" name="Chart 1132">
          <a:extLst>
            <a:ext uri="{FF2B5EF4-FFF2-40B4-BE49-F238E27FC236}">
              <a16:creationId xmlns:a16="http://schemas.microsoft.com/office/drawing/2014/main" id="{6E79052F-C5EA-4C32-9D1D-BD9785561B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7</xdr:col>
      <xdr:colOff>508181</xdr:colOff>
      <xdr:row>6</xdr:row>
      <xdr:rowOff>103080</xdr:rowOff>
    </xdr:from>
    <xdr:to>
      <xdr:col>11</xdr:col>
      <xdr:colOff>326210</xdr:colOff>
      <xdr:row>10</xdr:row>
      <xdr:rowOff>46215</xdr:rowOff>
    </xdr:to>
    <xdr:sp macro="" textlink="">
      <xdr:nvSpPr>
        <xdr:cNvPr id="1137" name="TextBox 1136">
          <a:extLst>
            <a:ext uri="{FF2B5EF4-FFF2-40B4-BE49-F238E27FC236}">
              <a16:creationId xmlns:a16="http://schemas.microsoft.com/office/drawing/2014/main" id="{A05368EF-42AC-7465-2F43-741108572C50}"/>
            </a:ext>
          </a:extLst>
        </xdr:cNvPr>
        <xdr:cNvSpPr txBox="1"/>
      </xdr:nvSpPr>
      <xdr:spPr>
        <a:xfrm>
          <a:off x="4741514" y="1119080"/>
          <a:ext cx="2237077" cy="6204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rgbClr val="008DFF"/>
              </a:solidFill>
            </a:rPr>
            <a:t>Leave Tracking </a:t>
          </a:r>
        </a:p>
        <a:p>
          <a:r>
            <a:rPr lang="en-US" sz="1100" b="0">
              <a:solidFill>
                <a:schemeClr val="bg1">
                  <a:lumMod val="85000"/>
                </a:schemeClr>
              </a:solidFill>
            </a:rPr>
            <a:t>leave</a:t>
          </a:r>
          <a:r>
            <a:rPr lang="en-US" sz="1100" b="0" baseline="0">
              <a:solidFill>
                <a:schemeClr val="bg1">
                  <a:lumMod val="85000"/>
                </a:schemeClr>
              </a:solidFill>
            </a:rPr>
            <a:t> tecken by gob titel</a:t>
          </a:r>
          <a:endParaRPr lang="en-US" sz="1100" b="0">
            <a:solidFill>
              <a:schemeClr val="bg1">
                <a:lumMod val="85000"/>
              </a:schemeClr>
            </a:solidFill>
          </a:endParaRPr>
        </a:p>
      </xdr:txBody>
    </xdr:sp>
    <xdr:clientData/>
  </xdr:twoCellAnchor>
  <xdr:twoCellAnchor>
    <xdr:from>
      <xdr:col>12</xdr:col>
      <xdr:colOff>1209</xdr:colOff>
      <xdr:row>1</xdr:row>
      <xdr:rowOff>56849</xdr:rowOff>
    </xdr:from>
    <xdr:to>
      <xdr:col>16</xdr:col>
      <xdr:colOff>501952</xdr:colOff>
      <xdr:row>19</xdr:row>
      <xdr:rowOff>69683</xdr:rowOff>
    </xdr:to>
    <xdr:grpSp>
      <xdr:nvGrpSpPr>
        <xdr:cNvPr id="1164" name="Group 1163">
          <a:extLst>
            <a:ext uri="{FF2B5EF4-FFF2-40B4-BE49-F238E27FC236}">
              <a16:creationId xmlns:a16="http://schemas.microsoft.com/office/drawing/2014/main" id="{54437D2B-A093-69B4-7FDF-866C20330F3B}"/>
            </a:ext>
          </a:extLst>
        </xdr:cNvPr>
        <xdr:cNvGrpSpPr/>
      </xdr:nvGrpSpPr>
      <xdr:grpSpPr>
        <a:xfrm>
          <a:off x="7289905" y="233545"/>
          <a:ext cx="2930308" cy="3204399"/>
          <a:chOff x="7355114" y="201992"/>
          <a:chExt cx="2919790" cy="3072930"/>
        </a:xfrm>
      </xdr:grpSpPr>
      <xdr:sp macro="" textlink="">
        <xdr:nvSpPr>
          <xdr:cNvPr id="30" name="Rectangle: Rounded Corners 29">
            <a:extLst>
              <a:ext uri="{FF2B5EF4-FFF2-40B4-BE49-F238E27FC236}">
                <a16:creationId xmlns:a16="http://schemas.microsoft.com/office/drawing/2014/main" id="{288B3F76-FB02-4E55-948E-B141260F2004}"/>
              </a:ext>
            </a:extLst>
          </xdr:cNvPr>
          <xdr:cNvSpPr/>
        </xdr:nvSpPr>
        <xdr:spPr>
          <a:xfrm>
            <a:off x="7355114" y="1736879"/>
            <a:ext cx="2919790" cy="1441749"/>
          </a:xfrm>
          <a:prstGeom prst="roundRect">
            <a:avLst>
              <a:gd name="adj" fmla="val 17227"/>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1138" name="Chart 1137">
            <a:extLst>
              <a:ext uri="{FF2B5EF4-FFF2-40B4-BE49-F238E27FC236}">
                <a16:creationId xmlns:a16="http://schemas.microsoft.com/office/drawing/2014/main" id="{8F032D26-3EA2-48A5-A687-5E25EDBAFF07}"/>
              </a:ext>
            </a:extLst>
          </xdr:cNvPr>
          <xdr:cNvGraphicFramePr>
            <a:graphicFrameLocks/>
          </xdr:cNvGraphicFramePr>
        </xdr:nvGraphicFramePr>
        <xdr:xfrm>
          <a:off x="7473233" y="2043373"/>
          <a:ext cx="2782987" cy="1231549"/>
        </xdr:xfrm>
        <a:graphic>
          <a:graphicData uri="http://schemas.openxmlformats.org/drawingml/2006/chart">
            <c:chart xmlns:c="http://schemas.openxmlformats.org/drawingml/2006/chart" xmlns:r="http://schemas.openxmlformats.org/officeDocument/2006/relationships" r:id="rId11"/>
          </a:graphicData>
        </a:graphic>
      </xdr:graphicFrame>
      <xdr:sp macro="" textlink="">
        <xdr:nvSpPr>
          <xdr:cNvPr id="1141" name="TextBox 1140">
            <a:extLst>
              <a:ext uri="{FF2B5EF4-FFF2-40B4-BE49-F238E27FC236}">
                <a16:creationId xmlns:a16="http://schemas.microsoft.com/office/drawing/2014/main" id="{741C9E94-17E6-9833-FB80-AC7F8E106706}"/>
              </a:ext>
            </a:extLst>
          </xdr:cNvPr>
          <xdr:cNvSpPr txBox="1"/>
        </xdr:nvSpPr>
        <xdr:spPr>
          <a:xfrm>
            <a:off x="7461859" y="1683224"/>
            <a:ext cx="2623765" cy="5522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rgbClr val="008DFF"/>
                </a:solidFill>
              </a:rPr>
              <a:t>Regons </a:t>
            </a:r>
          </a:p>
          <a:p>
            <a:r>
              <a:rPr lang="en-US" sz="800" b="1">
                <a:solidFill>
                  <a:schemeClr val="bg1">
                    <a:lumMod val="75000"/>
                  </a:schemeClr>
                </a:solidFill>
              </a:rPr>
              <a:t>   employee for regon</a:t>
            </a:r>
          </a:p>
        </xdr:txBody>
      </xdr:sp>
      <xdr:grpSp>
        <xdr:nvGrpSpPr>
          <xdr:cNvPr id="1163" name="Group 1162">
            <a:extLst>
              <a:ext uri="{FF2B5EF4-FFF2-40B4-BE49-F238E27FC236}">
                <a16:creationId xmlns:a16="http://schemas.microsoft.com/office/drawing/2014/main" id="{BC1AFD2B-A934-C853-3B54-973DF8970947}"/>
              </a:ext>
            </a:extLst>
          </xdr:cNvPr>
          <xdr:cNvGrpSpPr/>
        </xdr:nvGrpSpPr>
        <xdr:grpSpPr>
          <a:xfrm>
            <a:off x="7366000" y="201992"/>
            <a:ext cx="2899800" cy="1485295"/>
            <a:chOff x="7366000" y="201992"/>
            <a:chExt cx="2899800" cy="1485295"/>
          </a:xfrm>
        </xdr:grpSpPr>
        <xdr:sp macro="" textlink="">
          <xdr:nvSpPr>
            <xdr:cNvPr id="31" name="Rectangle: Rounded Corners 30">
              <a:extLst>
                <a:ext uri="{FF2B5EF4-FFF2-40B4-BE49-F238E27FC236}">
                  <a16:creationId xmlns:a16="http://schemas.microsoft.com/office/drawing/2014/main" id="{6178B6D1-4A87-47F2-86F7-900C5F393589}"/>
                </a:ext>
              </a:extLst>
            </xdr:cNvPr>
            <xdr:cNvSpPr/>
          </xdr:nvSpPr>
          <xdr:spPr>
            <a:xfrm>
              <a:off x="7366000" y="201992"/>
              <a:ext cx="2899800" cy="1485295"/>
            </a:xfrm>
            <a:prstGeom prst="roundRect">
              <a:avLst>
                <a:gd name="adj" fmla="val 6667"/>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pivot table'!AB19">
          <xdr:nvSpPr>
            <xdr:cNvPr id="1143" name="TextBox 1142">
              <a:extLst>
                <a:ext uri="{FF2B5EF4-FFF2-40B4-BE49-F238E27FC236}">
                  <a16:creationId xmlns:a16="http://schemas.microsoft.com/office/drawing/2014/main" id="{201BF497-848F-ECF6-F259-C9C2D19DDB5A}"/>
                </a:ext>
              </a:extLst>
            </xdr:cNvPr>
            <xdr:cNvSpPr txBox="1"/>
          </xdr:nvSpPr>
          <xdr:spPr>
            <a:xfrm>
              <a:off x="7564217" y="655852"/>
              <a:ext cx="1586824" cy="10159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F83A381-390D-40FA-BAAC-2EBB71DD73FD}" type="TxLink">
                <a:rPr lang="en-US" sz="4500" b="1" i="0" u="none" strike="noStrike">
                  <a:solidFill>
                    <a:schemeClr val="bg1"/>
                  </a:solidFill>
                  <a:latin typeface="Aptos Narrow"/>
                </a:rPr>
                <a:t>2.6</a:t>
              </a:fld>
              <a:endParaRPr lang="en-US" sz="4500" b="1" i="0" u="none" strike="noStrike">
                <a:solidFill>
                  <a:schemeClr val="bg1"/>
                </a:solidFill>
                <a:latin typeface="Aptos Narrow"/>
              </a:endParaRPr>
            </a:p>
            <a:p>
              <a:r>
                <a:rPr lang="en-US" sz="1000" b="1" i="0" u="none" strike="noStrike">
                  <a:solidFill>
                    <a:schemeClr val="bg1"/>
                  </a:solidFill>
                  <a:latin typeface="Aptos Narrow"/>
                </a:rPr>
                <a:t>Average rating</a:t>
              </a:r>
              <a:endParaRPr lang="en-US" sz="900" b="1">
                <a:solidFill>
                  <a:schemeClr val="bg1"/>
                </a:solidFill>
              </a:endParaRPr>
            </a:p>
          </xdr:txBody>
        </xdr:sp>
        <xdr:pic>
          <xdr:nvPicPr>
            <xdr:cNvPr id="1147" name="Picture 1146">
              <a:extLst>
                <a:ext uri="{FF2B5EF4-FFF2-40B4-BE49-F238E27FC236}">
                  <a16:creationId xmlns:a16="http://schemas.microsoft.com/office/drawing/2014/main" id="{C9D75234-0AB5-1196-033C-A2D0E7639294}"/>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8932965" y="361414"/>
              <a:ext cx="1208528" cy="1218457"/>
            </a:xfrm>
            <a:prstGeom prst="rect">
              <a:avLst/>
            </a:prstGeom>
          </xdr:spPr>
        </xdr:pic>
      </xdr:grpSp>
    </xdr:grpSp>
    <xdr:clientData/>
  </xdr:twoCellAnchor>
  <xdr:twoCellAnchor>
    <xdr:from>
      <xdr:col>0</xdr:col>
      <xdr:colOff>152001</xdr:colOff>
      <xdr:row>1</xdr:row>
      <xdr:rowOff>98550</xdr:rowOff>
    </xdr:from>
    <xdr:to>
      <xdr:col>1</xdr:col>
      <xdr:colOff>241905</xdr:colOff>
      <xdr:row>5</xdr:row>
      <xdr:rowOff>113410</xdr:rowOff>
    </xdr:to>
    <xdr:pic>
      <xdr:nvPicPr>
        <xdr:cNvPr id="1149" name="Picture 1148">
          <a:extLst>
            <a:ext uri="{FF2B5EF4-FFF2-40B4-BE49-F238E27FC236}">
              <a16:creationId xmlns:a16="http://schemas.microsoft.com/office/drawing/2014/main" id="{5F362FE0-9C48-A9DC-2080-8FD56B7B2D0B}"/>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152001" y="267883"/>
          <a:ext cx="694666" cy="692194"/>
        </a:xfrm>
        <a:prstGeom prst="rect">
          <a:avLst/>
        </a:prstGeom>
      </xdr:spPr>
    </xdr:pic>
    <xdr:clientData/>
  </xdr:twoCellAnchor>
  <xdr:twoCellAnchor>
    <xdr:from>
      <xdr:col>1</xdr:col>
      <xdr:colOff>157238</xdr:colOff>
      <xdr:row>1</xdr:row>
      <xdr:rowOff>24191</xdr:rowOff>
    </xdr:from>
    <xdr:to>
      <xdr:col>4</xdr:col>
      <xdr:colOff>520095</xdr:colOff>
      <xdr:row>6</xdr:row>
      <xdr:rowOff>72571</xdr:rowOff>
    </xdr:to>
    <xdr:sp macro="" textlink="">
      <xdr:nvSpPr>
        <xdr:cNvPr id="1150" name="TextBox 1149">
          <a:extLst>
            <a:ext uri="{FF2B5EF4-FFF2-40B4-BE49-F238E27FC236}">
              <a16:creationId xmlns:a16="http://schemas.microsoft.com/office/drawing/2014/main" id="{9594BD95-E25C-7B2D-B482-B4444BF1AF96}"/>
            </a:ext>
          </a:extLst>
        </xdr:cNvPr>
        <xdr:cNvSpPr txBox="1"/>
      </xdr:nvSpPr>
      <xdr:spPr>
        <a:xfrm>
          <a:off x="762000" y="193524"/>
          <a:ext cx="2177143" cy="8950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rgbClr val="008DFF"/>
              </a:solidFill>
            </a:rPr>
            <a:t>HR</a:t>
          </a:r>
          <a:r>
            <a:rPr lang="en-US" sz="1800" b="1" baseline="0">
              <a:solidFill>
                <a:srgbClr val="008DFF"/>
              </a:solidFill>
            </a:rPr>
            <a:t> </a:t>
          </a:r>
        </a:p>
        <a:p>
          <a:r>
            <a:rPr lang="en-US" sz="1600" b="1" baseline="0">
              <a:solidFill>
                <a:srgbClr val="008DFF"/>
              </a:solidFill>
            </a:rPr>
            <a:t>Dashbord</a:t>
          </a:r>
          <a:r>
            <a:rPr lang="en-US" sz="1200" b="1" baseline="0">
              <a:solidFill>
                <a:srgbClr val="008DFF"/>
              </a:solidFill>
            </a:rPr>
            <a:t> </a:t>
          </a:r>
        </a:p>
        <a:p>
          <a:r>
            <a:rPr lang="en-US" sz="700" b="1" baseline="0">
              <a:solidFill>
                <a:schemeClr val="bg1">
                  <a:lumMod val="85000"/>
                </a:schemeClr>
              </a:solidFill>
            </a:rPr>
            <a:t>Analyze and monitor the HR department </a:t>
          </a:r>
          <a:endParaRPr lang="en-US" sz="1200" b="1">
            <a:solidFill>
              <a:schemeClr val="bg1">
                <a:lumMod val="85000"/>
              </a:schemeClr>
            </a:solidFill>
          </a:endParaRPr>
        </a:p>
      </xdr:txBody>
    </xdr:sp>
    <xdr:clientData/>
  </xdr:twoCellAnchor>
  <xdr:twoCellAnchor editAs="oneCell">
    <xdr:from>
      <xdr:col>9</xdr:col>
      <xdr:colOff>580569</xdr:colOff>
      <xdr:row>0</xdr:row>
      <xdr:rowOff>145143</xdr:rowOff>
    </xdr:from>
    <xdr:to>
      <xdr:col>11</xdr:col>
      <xdr:colOff>574261</xdr:colOff>
      <xdr:row>6</xdr:row>
      <xdr:rowOff>60476</xdr:rowOff>
    </xdr:to>
    <mc:AlternateContent xmlns:mc="http://schemas.openxmlformats.org/markup-compatibility/2006">
      <mc:Choice xmlns:a14="http://schemas.microsoft.com/office/drawing/2010/main" Requires="a14">
        <xdr:graphicFrame macro="">
          <xdr:nvGraphicFramePr>
            <xdr:cNvPr id="1151" name="Gender">
              <a:extLst>
                <a:ext uri="{FF2B5EF4-FFF2-40B4-BE49-F238E27FC236}">
                  <a16:creationId xmlns:a16="http://schemas.microsoft.com/office/drawing/2014/main" id="{EEC55982-C766-4915-B0B9-92413127F87C}"/>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6047091" y="145143"/>
              <a:ext cx="1208474" cy="97550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564723</xdr:colOff>
      <xdr:row>0</xdr:row>
      <xdr:rowOff>153489</xdr:rowOff>
    </xdr:from>
    <xdr:to>
      <xdr:col>10</xdr:col>
      <xdr:colOff>48377</xdr:colOff>
      <xdr:row>6</xdr:row>
      <xdr:rowOff>36287</xdr:rowOff>
    </xdr:to>
    <mc:AlternateContent xmlns:mc="http://schemas.openxmlformats.org/markup-compatibility/2006">
      <mc:Choice xmlns:a14="http://schemas.microsoft.com/office/drawing/2010/main" Requires="a14">
        <xdr:graphicFrame macro="">
          <xdr:nvGraphicFramePr>
            <xdr:cNvPr id="1152" name="Department">
              <a:extLst>
                <a:ext uri="{FF2B5EF4-FFF2-40B4-BE49-F238E27FC236}">
                  <a16:creationId xmlns:a16="http://schemas.microsoft.com/office/drawing/2014/main" id="{D459AE43-061F-41C5-BAE6-E8A43B964C7D}"/>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2386897" y="153489"/>
              <a:ext cx="3735393" cy="9429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oussef" refreshedDate="46147.43605798611" createdVersion="8" refreshedVersion="8" minRefreshableVersion="3" recordCount="50" xr:uid="{D5FBD9E2-BA61-4479-8BD3-560A7F7C17BD}">
  <cacheSource type="worksheet">
    <worksheetSource name="Table1"/>
  </cacheSource>
  <cacheFields count="21">
    <cacheField name="Employee ID" numFmtId="0">
      <sharedItems containsSemiMixedTypes="0" containsString="0" containsNumber="1" containsInteger="1" minValue="1550" maxValue="9968"/>
    </cacheField>
    <cacheField name="Full Name" numFmtId="0">
      <sharedItems/>
    </cacheField>
    <cacheField name="Gender" numFmtId="0">
      <sharedItems count="2">
        <s v="Female"/>
        <s v="Male"/>
      </sharedItems>
    </cacheField>
    <cacheField name="Age" numFmtId="0">
      <sharedItems containsSemiMixedTypes="0" containsString="0" containsNumber="1" containsInteger="1" minValue="20" maxValue="60"/>
    </cacheField>
    <cacheField name="Age range" numFmtId="0">
      <sharedItems count="5">
        <s v="18-25"/>
        <s v="26-35"/>
        <s v="36-45"/>
        <s v="56 &lt;"/>
        <s v="46-55"/>
      </sharedItems>
    </cacheField>
    <cacheField name="Region" numFmtId="0">
      <sharedItems count="5">
        <s v="East"/>
        <s v="Central"/>
        <s v="West"/>
        <s v="South"/>
        <s v="North"/>
      </sharedItems>
    </cacheField>
    <cacheField name="Job Title" numFmtId="0">
      <sharedItems count="5">
        <s v="Manager"/>
        <s v="Designer"/>
        <s v="HR Specialist"/>
        <s v="Developer"/>
        <s v="Analyst"/>
      </sharedItems>
    </cacheField>
    <cacheField name="Department" numFmtId="0">
      <sharedItems count="5">
        <s v="Finance"/>
        <s v="HR"/>
        <s v="Marketing"/>
        <s v="Operations"/>
        <s v="IT"/>
      </sharedItems>
    </cacheField>
    <cacheField name="Manager/Supervisor" numFmtId="0">
      <sharedItems/>
    </cacheField>
    <cacheField name="Date of Hire" numFmtId="0">
      <sharedItems/>
    </cacheField>
    <cacheField name="Employment Status" numFmtId="0">
      <sharedItems count="3">
        <s v="Full-Time"/>
        <s v="Contract"/>
        <s v="Part-Time"/>
      </sharedItems>
    </cacheField>
    <cacheField name="Work Location" numFmtId="0">
      <sharedItems count="3">
        <s v="Head Office"/>
        <s v="Branch Office"/>
        <s v="Remote"/>
      </sharedItems>
    </cacheField>
    <cacheField name="Salary" numFmtId="0">
      <sharedItems containsSemiMixedTypes="0" containsString="0" containsNumber="1" containsInteger="1" minValue="30137" maxValue="98961"/>
    </cacheField>
    <cacheField name="Pay Grade" numFmtId="0">
      <sharedItems/>
    </cacheField>
    <cacheField name="Bonus/Allowances" numFmtId="0">
      <sharedItems containsSemiMixedTypes="0" containsString="0" containsNumber="1" containsInteger="1" minValue="1024" maxValue="9911"/>
    </cacheField>
    <cacheField name="Insurance Details" numFmtId="0">
      <sharedItems/>
    </cacheField>
    <cacheField name="Leave Taken" numFmtId="0">
      <sharedItems containsSemiMixedTypes="0" containsString="0" containsNumber="1" containsInteger="1" minValue="0" maxValue="20"/>
    </cacheField>
    <cacheField name="Performance Rating" numFmtId="0">
      <sharedItems containsSemiMixedTypes="0" containsString="0" containsNumber="1" containsInteger="1" minValue="1" maxValue="5"/>
    </cacheField>
    <cacheField name="Training Programs Attended" numFmtId="0">
      <sharedItems/>
    </cacheField>
    <cacheField name="Skills" numFmtId="0">
      <sharedItems count="5">
        <s v="Design"/>
        <s v="Management"/>
        <s v="Python"/>
        <s v="Communication"/>
        <s v="Excel"/>
      </sharedItems>
    </cacheField>
    <cacheField name="Certifications" numFmtId="0">
      <sharedItems/>
    </cacheField>
  </cacheFields>
  <extLst>
    <ext xmlns:x14="http://schemas.microsoft.com/office/spreadsheetml/2009/9/main" uri="{725AE2AE-9491-48be-B2B4-4EB974FC3084}">
      <x14:pivotCacheDefinition pivotCacheId="57671319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n v="4294"/>
    <s v="Lori Nguyen"/>
    <x v="0"/>
    <n v="25"/>
    <x v="0"/>
    <x v="0"/>
    <x v="0"/>
    <x v="0"/>
    <s v="Luis Reynolds"/>
    <s v="2019-03-15"/>
    <x v="0"/>
    <x v="0"/>
    <n v="53700"/>
    <s v="C"/>
    <n v="1463"/>
    <s v="Health"/>
    <n v="1"/>
    <n v="1"/>
    <s v="Leadership Training"/>
    <x v="0"/>
    <s v="Certified Professional"/>
  </r>
  <r>
    <n v="9116"/>
    <s v="Gary Garcia"/>
    <x v="1"/>
    <n v="27"/>
    <x v="1"/>
    <x v="1"/>
    <x v="1"/>
    <x v="1"/>
    <s v="Ashley Simmons MD"/>
    <s v="2022-12-20"/>
    <x v="0"/>
    <x v="1"/>
    <n v="91091"/>
    <s v="B"/>
    <n v="1024"/>
    <s v="None"/>
    <n v="19"/>
    <n v="4"/>
    <s v="Excel Workshop"/>
    <x v="0"/>
    <s v="Certified Professional"/>
  </r>
  <r>
    <n v="5120"/>
    <s v="Jeremy Nguyen"/>
    <x v="1"/>
    <n v="34"/>
    <x v="1"/>
    <x v="2"/>
    <x v="2"/>
    <x v="2"/>
    <s v="Cassandra Duncan"/>
    <s v="2022-08-10"/>
    <x v="0"/>
    <x v="2"/>
    <n v="57538"/>
    <s v="D"/>
    <n v="1674"/>
    <s v="None"/>
    <n v="8"/>
    <n v="1"/>
    <s v="None"/>
    <x v="1"/>
    <s v="Advanced Training"/>
  </r>
  <r>
    <n v="8071"/>
    <s v="Kimberly Jones"/>
    <x v="0"/>
    <n v="41"/>
    <x v="2"/>
    <x v="2"/>
    <x v="0"/>
    <x v="3"/>
    <s v="Janet Harris"/>
    <s v="2024-09-03"/>
    <x v="1"/>
    <x v="0"/>
    <n v="62993"/>
    <s v="A"/>
    <n v="2695"/>
    <s v="Health + Dental"/>
    <n v="0"/>
    <n v="2"/>
    <s v="None"/>
    <x v="2"/>
    <s v="None"/>
  </r>
  <r>
    <n v="9351"/>
    <s v="Anthony Gates"/>
    <x v="1"/>
    <n v="56"/>
    <x v="3"/>
    <x v="0"/>
    <x v="0"/>
    <x v="2"/>
    <s v="Mr. Frank Clay"/>
    <s v="2019-03-14"/>
    <x v="1"/>
    <x v="1"/>
    <n v="45773"/>
    <s v="A"/>
    <n v="8776"/>
    <s v="Health"/>
    <n v="16"/>
    <n v="4"/>
    <s v="Leadership Training"/>
    <x v="2"/>
    <s v="None"/>
  </r>
  <r>
    <n v="2873"/>
    <s v="Courtney Foster"/>
    <x v="0"/>
    <n v="28"/>
    <x v="1"/>
    <x v="2"/>
    <x v="3"/>
    <x v="2"/>
    <s v="Dorothy Price"/>
    <s v="2017-01-23"/>
    <x v="0"/>
    <x v="1"/>
    <n v="96249"/>
    <s v="C"/>
    <n v="4826"/>
    <s v="Health + Dental"/>
    <n v="7"/>
    <n v="3"/>
    <s v="Leadership Training"/>
    <x v="3"/>
    <s v="Certified Professional"/>
  </r>
  <r>
    <n v="3540"/>
    <s v="Catherine Hall"/>
    <x v="0"/>
    <n v="20"/>
    <x v="0"/>
    <x v="1"/>
    <x v="2"/>
    <x v="2"/>
    <s v="Michele Sexton"/>
    <s v="2024-08-17"/>
    <x v="0"/>
    <x v="2"/>
    <n v="61596"/>
    <s v="C"/>
    <n v="8818"/>
    <s v="Health + Dental"/>
    <n v="4"/>
    <n v="2"/>
    <s v="Leadership Training"/>
    <x v="1"/>
    <s v="None"/>
  </r>
  <r>
    <n v="3653"/>
    <s v="Deanna Ball"/>
    <x v="0"/>
    <n v="58"/>
    <x v="3"/>
    <x v="3"/>
    <x v="1"/>
    <x v="4"/>
    <s v="Richard Schmidt"/>
    <s v="2014-12-09"/>
    <x v="0"/>
    <x v="2"/>
    <n v="97869"/>
    <s v="A"/>
    <n v="1966"/>
    <s v="Health"/>
    <n v="10"/>
    <n v="1"/>
    <s v="Leadership Training"/>
    <x v="0"/>
    <s v="Certified Professional"/>
  </r>
  <r>
    <n v="5587"/>
    <s v="Candace Nelson"/>
    <x v="0"/>
    <n v="44"/>
    <x v="2"/>
    <x v="3"/>
    <x v="2"/>
    <x v="2"/>
    <s v="Teresa Pearson"/>
    <s v="2021-06-28"/>
    <x v="0"/>
    <x v="0"/>
    <n v="81235"/>
    <s v="A"/>
    <n v="6553"/>
    <s v="None"/>
    <n v="16"/>
    <n v="2"/>
    <s v="None"/>
    <x v="1"/>
    <s v="Certified Professional"/>
  </r>
  <r>
    <n v="9554"/>
    <s v="Mandy Davis"/>
    <x v="0"/>
    <n v="29"/>
    <x v="1"/>
    <x v="1"/>
    <x v="2"/>
    <x v="3"/>
    <s v="Laura Hart"/>
    <s v="2018-05-20"/>
    <x v="0"/>
    <x v="1"/>
    <n v="87852"/>
    <s v="A"/>
    <n v="4980"/>
    <s v="Health + Dental"/>
    <n v="19"/>
    <n v="3"/>
    <s v="None"/>
    <x v="2"/>
    <s v="Certified Professional"/>
  </r>
  <r>
    <n v="6213"/>
    <s v="Matthew Powell"/>
    <x v="1"/>
    <n v="23"/>
    <x v="0"/>
    <x v="3"/>
    <x v="0"/>
    <x v="2"/>
    <s v="Andrea May"/>
    <s v="2017-02-13"/>
    <x v="1"/>
    <x v="1"/>
    <n v="59359"/>
    <s v="A"/>
    <n v="9449"/>
    <s v="Health + Dental"/>
    <n v="20"/>
    <n v="3"/>
    <s v="None"/>
    <x v="1"/>
    <s v="None"/>
  </r>
  <r>
    <n v="9105"/>
    <s v="Bruce Nelson"/>
    <x v="1"/>
    <n v="30"/>
    <x v="1"/>
    <x v="0"/>
    <x v="1"/>
    <x v="0"/>
    <s v="Casey Martin"/>
    <s v="2024-05-05"/>
    <x v="1"/>
    <x v="2"/>
    <n v="81225"/>
    <s v="D"/>
    <n v="6202"/>
    <s v="Health + Dental"/>
    <n v="2"/>
    <n v="2"/>
    <s v="Excel Workshop"/>
    <x v="4"/>
    <s v="Certified Professional"/>
  </r>
  <r>
    <n v="9508"/>
    <s v="Dawn Cole"/>
    <x v="0"/>
    <n v="49"/>
    <x v="4"/>
    <x v="1"/>
    <x v="0"/>
    <x v="0"/>
    <s v="Amber Allen"/>
    <s v="2022-04-19"/>
    <x v="1"/>
    <x v="0"/>
    <n v="32788"/>
    <s v="D"/>
    <n v="4396"/>
    <s v="Health"/>
    <n v="13"/>
    <n v="5"/>
    <s v="None"/>
    <x v="3"/>
    <s v="Advanced Training"/>
  </r>
  <r>
    <n v="2436"/>
    <s v="Tanner Morse"/>
    <x v="1"/>
    <n v="60"/>
    <x v="3"/>
    <x v="4"/>
    <x v="0"/>
    <x v="3"/>
    <s v="Adam Johnson"/>
    <s v="2015-11-16"/>
    <x v="1"/>
    <x v="2"/>
    <n v="70452"/>
    <s v="D"/>
    <n v="9911"/>
    <s v="None"/>
    <n v="2"/>
    <n v="1"/>
    <s v="None"/>
    <x v="3"/>
    <s v="Certified Professional"/>
  </r>
  <r>
    <n v="4441"/>
    <s v="Jose Griffin"/>
    <x v="1"/>
    <n v="46"/>
    <x v="4"/>
    <x v="1"/>
    <x v="3"/>
    <x v="0"/>
    <s v="Nicole Dominguez"/>
    <s v="2023-09-09"/>
    <x v="0"/>
    <x v="1"/>
    <n v="33045"/>
    <s v="B"/>
    <n v="1456"/>
    <s v="None"/>
    <n v="16"/>
    <n v="3"/>
    <s v="Excel Workshop"/>
    <x v="3"/>
    <s v="None"/>
  </r>
  <r>
    <n v="5827"/>
    <s v="Daniel Hawkins"/>
    <x v="1"/>
    <n v="57"/>
    <x v="3"/>
    <x v="2"/>
    <x v="3"/>
    <x v="1"/>
    <s v="Andrew Best"/>
    <s v="2017-12-12"/>
    <x v="2"/>
    <x v="2"/>
    <n v="96429"/>
    <s v="C"/>
    <n v="4740"/>
    <s v="None"/>
    <n v="8"/>
    <n v="1"/>
    <s v="Excel Workshop"/>
    <x v="2"/>
    <s v="None"/>
  </r>
  <r>
    <n v="5184"/>
    <s v="Elaine Mcclain"/>
    <x v="0"/>
    <n v="24"/>
    <x v="0"/>
    <x v="1"/>
    <x v="2"/>
    <x v="2"/>
    <s v="Gabrielle Rodriguez"/>
    <s v="2017-03-10"/>
    <x v="2"/>
    <x v="2"/>
    <n v="33183"/>
    <s v="A"/>
    <n v="8114"/>
    <s v="None"/>
    <n v="4"/>
    <n v="2"/>
    <s v="Excel Workshop"/>
    <x v="4"/>
    <s v="Advanced Training"/>
  </r>
  <r>
    <n v="5874"/>
    <s v="Kimberly Jones"/>
    <x v="0"/>
    <n v="35"/>
    <x v="1"/>
    <x v="4"/>
    <x v="3"/>
    <x v="0"/>
    <s v="Allison Harvey"/>
    <s v="2019-03-04"/>
    <x v="2"/>
    <x v="0"/>
    <n v="75065"/>
    <s v="C"/>
    <n v="7123"/>
    <s v="None"/>
    <n v="20"/>
    <n v="2"/>
    <s v="None"/>
    <x v="0"/>
    <s v="Advanced Training"/>
  </r>
  <r>
    <n v="9834"/>
    <s v="Thomas Kramer"/>
    <x v="1"/>
    <n v="41"/>
    <x v="2"/>
    <x v="1"/>
    <x v="1"/>
    <x v="4"/>
    <s v="Tristan Mejia"/>
    <s v="2022-11-20"/>
    <x v="0"/>
    <x v="2"/>
    <n v="32877"/>
    <s v="C"/>
    <n v="6432"/>
    <s v="Health"/>
    <n v="11"/>
    <n v="1"/>
    <s v="None"/>
    <x v="0"/>
    <s v="None"/>
  </r>
  <r>
    <n v="5096"/>
    <s v="Kevin Whitaker"/>
    <x v="1"/>
    <n v="36"/>
    <x v="2"/>
    <x v="1"/>
    <x v="4"/>
    <x v="3"/>
    <s v="Mary Welch"/>
    <s v="2021-03-02"/>
    <x v="0"/>
    <x v="1"/>
    <n v="46811"/>
    <s v="D"/>
    <n v="1567"/>
    <s v="None"/>
    <n v="7"/>
    <n v="3"/>
    <s v="Excel Workshop"/>
    <x v="0"/>
    <s v="Advanced Training"/>
  </r>
  <r>
    <n v="2263"/>
    <s v="Dustin Carter"/>
    <x v="1"/>
    <n v="31"/>
    <x v="1"/>
    <x v="3"/>
    <x v="2"/>
    <x v="1"/>
    <s v="Douglas Miles"/>
    <s v="2021-08-01"/>
    <x v="1"/>
    <x v="1"/>
    <n v="87538"/>
    <s v="C"/>
    <n v="3588"/>
    <s v="Health + Dental"/>
    <n v="11"/>
    <n v="5"/>
    <s v="Excel Workshop"/>
    <x v="2"/>
    <s v="None"/>
  </r>
  <r>
    <n v="6505"/>
    <s v="Nicole Williamson"/>
    <x v="0"/>
    <n v="28"/>
    <x v="1"/>
    <x v="0"/>
    <x v="1"/>
    <x v="4"/>
    <s v="Jessica Fleming"/>
    <s v="2015-08-14"/>
    <x v="0"/>
    <x v="1"/>
    <n v="73002"/>
    <s v="C"/>
    <n v="6296"/>
    <s v="Health"/>
    <n v="2"/>
    <n v="5"/>
    <s v="Excel Workshop"/>
    <x v="1"/>
    <s v="Certified Professional"/>
  </r>
  <r>
    <n v="8626"/>
    <s v="Matthew Knight"/>
    <x v="1"/>
    <n v="37"/>
    <x v="2"/>
    <x v="3"/>
    <x v="1"/>
    <x v="3"/>
    <s v="Christine Lee"/>
    <s v="2015-10-21"/>
    <x v="2"/>
    <x v="2"/>
    <n v="41653"/>
    <s v="D"/>
    <n v="9236"/>
    <s v="None"/>
    <n v="13"/>
    <n v="1"/>
    <s v="Excel Workshop"/>
    <x v="0"/>
    <s v="None"/>
  </r>
  <r>
    <n v="5979"/>
    <s v="Donna Jones"/>
    <x v="0"/>
    <n v="31"/>
    <x v="1"/>
    <x v="0"/>
    <x v="0"/>
    <x v="2"/>
    <s v="Mario Smith DVM"/>
    <s v="2015-03-14"/>
    <x v="1"/>
    <x v="1"/>
    <n v="67582"/>
    <s v="A"/>
    <n v="1375"/>
    <s v="Health"/>
    <n v="20"/>
    <n v="3"/>
    <s v="Excel Workshop"/>
    <x v="1"/>
    <s v="None"/>
  </r>
  <r>
    <n v="3104"/>
    <s v="Carolyn Bullock"/>
    <x v="0"/>
    <n v="23"/>
    <x v="0"/>
    <x v="3"/>
    <x v="1"/>
    <x v="1"/>
    <s v="Joseph Francis"/>
    <s v="2024-05-22"/>
    <x v="2"/>
    <x v="1"/>
    <n v="37351"/>
    <s v="D"/>
    <n v="7858"/>
    <s v="Health + Dental"/>
    <n v="18"/>
    <n v="2"/>
    <s v="Leadership Training"/>
    <x v="1"/>
    <s v="Advanced Training"/>
  </r>
  <r>
    <n v="8967"/>
    <s v="Wendy Gomez"/>
    <x v="0"/>
    <n v="48"/>
    <x v="4"/>
    <x v="4"/>
    <x v="2"/>
    <x v="0"/>
    <s v="Sarah Young"/>
    <s v="2017-03-19"/>
    <x v="0"/>
    <x v="1"/>
    <n v="36721"/>
    <s v="B"/>
    <n v="8820"/>
    <s v="Health + Dental"/>
    <n v="0"/>
    <n v="2"/>
    <s v="Excel Workshop"/>
    <x v="1"/>
    <s v="Certified Professional"/>
  </r>
  <r>
    <n v="5087"/>
    <s v="Michael Thomas"/>
    <x v="1"/>
    <n v="28"/>
    <x v="1"/>
    <x v="2"/>
    <x v="4"/>
    <x v="0"/>
    <s v="Aaron Hart"/>
    <s v="2021-09-15"/>
    <x v="1"/>
    <x v="2"/>
    <n v="46326"/>
    <s v="B"/>
    <n v="9189"/>
    <s v="Health + Dental"/>
    <n v="8"/>
    <n v="4"/>
    <s v="Leadership Training"/>
    <x v="3"/>
    <s v="Advanced Training"/>
  </r>
  <r>
    <n v="3358"/>
    <s v="Kevin Bell"/>
    <x v="1"/>
    <n v="30"/>
    <x v="1"/>
    <x v="1"/>
    <x v="3"/>
    <x v="1"/>
    <s v="Brian Boyd"/>
    <s v="2022-05-09"/>
    <x v="0"/>
    <x v="0"/>
    <n v="59007"/>
    <s v="C"/>
    <n v="3380"/>
    <s v="Health"/>
    <n v="17"/>
    <n v="3"/>
    <s v="None"/>
    <x v="4"/>
    <s v="Certified Professional"/>
  </r>
  <r>
    <n v="8256"/>
    <s v="Richard Landry"/>
    <x v="1"/>
    <n v="46"/>
    <x v="4"/>
    <x v="3"/>
    <x v="0"/>
    <x v="3"/>
    <s v="Steven Krueger"/>
    <s v="2017-06-22"/>
    <x v="0"/>
    <x v="1"/>
    <n v="52020"/>
    <s v="B"/>
    <n v="9585"/>
    <s v="Health + Dental"/>
    <n v="0"/>
    <n v="4"/>
    <s v="Excel Workshop"/>
    <x v="4"/>
    <s v="None"/>
  </r>
  <r>
    <n v="5763"/>
    <s v="George Hurley"/>
    <x v="1"/>
    <n v="44"/>
    <x v="2"/>
    <x v="1"/>
    <x v="2"/>
    <x v="1"/>
    <s v="Debra Williams"/>
    <s v="2020-11-28"/>
    <x v="2"/>
    <x v="1"/>
    <n v="98961"/>
    <s v="D"/>
    <n v="2688"/>
    <s v="Health"/>
    <n v="2"/>
    <n v="5"/>
    <s v="Excel Workshop"/>
    <x v="4"/>
    <s v="Certified Professional"/>
  </r>
  <r>
    <n v="6838"/>
    <s v="Mark Lopez"/>
    <x v="1"/>
    <n v="45"/>
    <x v="2"/>
    <x v="2"/>
    <x v="3"/>
    <x v="2"/>
    <s v="Karen Mitchell"/>
    <s v="2015-08-30"/>
    <x v="2"/>
    <x v="1"/>
    <n v="81943"/>
    <s v="C"/>
    <n v="2255"/>
    <s v="Health"/>
    <n v="18"/>
    <n v="2"/>
    <s v="None"/>
    <x v="2"/>
    <s v="Certified Professional"/>
  </r>
  <r>
    <n v="9544"/>
    <s v="Robert Williams"/>
    <x v="1"/>
    <n v="52"/>
    <x v="4"/>
    <x v="4"/>
    <x v="2"/>
    <x v="1"/>
    <s v="Joseph Sanders"/>
    <s v="2018-10-27"/>
    <x v="2"/>
    <x v="1"/>
    <n v="47627"/>
    <s v="C"/>
    <n v="1221"/>
    <s v="None"/>
    <n v="4"/>
    <n v="3"/>
    <s v="None"/>
    <x v="1"/>
    <s v="None"/>
  </r>
  <r>
    <n v="8012"/>
    <s v="Mary Schmidt"/>
    <x v="0"/>
    <n v="52"/>
    <x v="4"/>
    <x v="0"/>
    <x v="0"/>
    <x v="4"/>
    <s v="Shelly George"/>
    <s v="2018-08-26"/>
    <x v="2"/>
    <x v="1"/>
    <n v="56162"/>
    <s v="D"/>
    <n v="6560"/>
    <s v="Health + Dental"/>
    <n v="9"/>
    <n v="4"/>
    <s v="Excel Workshop"/>
    <x v="3"/>
    <s v="None"/>
  </r>
  <r>
    <n v="9374"/>
    <s v="Mary Martinez"/>
    <x v="0"/>
    <n v="42"/>
    <x v="2"/>
    <x v="1"/>
    <x v="2"/>
    <x v="2"/>
    <s v="Nicole Houston"/>
    <s v="2023-07-24"/>
    <x v="1"/>
    <x v="2"/>
    <n v="95734"/>
    <s v="C"/>
    <n v="4854"/>
    <s v="Health"/>
    <n v="13"/>
    <n v="2"/>
    <s v="Leadership Training"/>
    <x v="0"/>
    <s v="Certified Professional"/>
  </r>
  <r>
    <n v="3487"/>
    <s v="Paul Hall"/>
    <x v="1"/>
    <n v="58"/>
    <x v="3"/>
    <x v="1"/>
    <x v="1"/>
    <x v="3"/>
    <s v="Kristin Shaffer"/>
    <s v="2018-07-09"/>
    <x v="1"/>
    <x v="2"/>
    <n v="74789"/>
    <s v="C"/>
    <n v="8101"/>
    <s v="Health + Dental"/>
    <n v="14"/>
    <n v="5"/>
    <s v="Excel Workshop"/>
    <x v="2"/>
    <s v="None"/>
  </r>
  <r>
    <n v="8445"/>
    <s v="Samantha Foster"/>
    <x v="0"/>
    <n v="24"/>
    <x v="0"/>
    <x v="4"/>
    <x v="0"/>
    <x v="3"/>
    <s v="Joel Aguilar"/>
    <s v="2016-12-21"/>
    <x v="0"/>
    <x v="2"/>
    <n v="30137"/>
    <s v="B"/>
    <n v="4031"/>
    <s v="None"/>
    <n v="5"/>
    <n v="3"/>
    <s v="None"/>
    <x v="1"/>
    <s v="Certified Professional"/>
  </r>
  <r>
    <n v="1550"/>
    <s v="Timothy Aguilar"/>
    <x v="1"/>
    <n v="21"/>
    <x v="0"/>
    <x v="1"/>
    <x v="0"/>
    <x v="0"/>
    <s v="Michael Wade"/>
    <s v="2019-06-27"/>
    <x v="0"/>
    <x v="2"/>
    <n v="95510"/>
    <s v="C"/>
    <n v="6811"/>
    <s v="Health"/>
    <n v="18"/>
    <n v="4"/>
    <s v="Excel Workshop"/>
    <x v="4"/>
    <s v="Certified Professional"/>
  </r>
  <r>
    <n v="9968"/>
    <s v="Charles Andrews"/>
    <x v="1"/>
    <n v="58"/>
    <x v="3"/>
    <x v="1"/>
    <x v="3"/>
    <x v="0"/>
    <s v="Jessica Walsh"/>
    <s v="2021-08-27"/>
    <x v="1"/>
    <x v="0"/>
    <n v="80325"/>
    <s v="B"/>
    <n v="6230"/>
    <s v="Health"/>
    <n v="5"/>
    <n v="4"/>
    <s v="None"/>
    <x v="2"/>
    <s v="Advanced Training"/>
  </r>
  <r>
    <n v="8029"/>
    <s v="Veronica Nelson"/>
    <x v="0"/>
    <n v="57"/>
    <x v="3"/>
    <x v="3"/>
    <x v="4"/>
    <x v="4"/>
    <s v="Kelly Mack"/>
    <s v="2017-05-28"/>
    <x v="2"/>
    <x v="1"/>
    <n v="34109"/>
    <s v="B"/>
    <n v="9232"/>
    <s v="Health"/>
    <n v="13"/>
    <n v="3"/>
    <s v="Leadership Training"/>
    <x v="0"/>
    <s v="Certified Professional"/>
  </r>
  <r>
    <n v="8847"/>
    <s v="Chris Sanchez"/>
    <x v="1"/>
    <n v="41"/>
    <x v="2"/>
    <x v="3"/>
    <x v="3"/>
    <x v="0"/>
    <s v="John Conley"/>
    <s v="2022-01-30"/>
    <x v="2"/>
    <x v="2"/>
    <n v="73330"/>
    <s v="C"/>
    <n v="2276"/>
    <s v="Health + Dental"/>
    <n v="5"/>
    <n v="1"/>
    <s v="None"/>
    <x v="1"/>
    <s v="Advanced Training"/>
  </r>
  <r>
    <n v="1955"/>
    <s v="Cassie Galvan"/>
    <x v="0"/>
    <n v="58"/>
    <x v="3"/>
    <x v="2"/>
    <x v="2"/>
    <x v="1"/>
    <s v="Aaron Baker"/>
    <s v="2017-04-20"/>
    <x v="1"/>
    <x v="2"/>
    <n v="46567"/>
    <s v="A"/>
    <n v="2825"/>
    <s v="Health"/>
    <n v="15"/>
    <n v="3"/>
    <s v="None"/>
    <x v="4"/>
    <s v="Advanced Training"/>
  </r>
  <r>
    <n v="4522"/>
    <s v="Jessica Jones"/>
    <x v="0"/>
    <n v="36"/>
    <x v="2"/>
    <x v="0"/>
    <x v="4"/>
    <x v="0"/>
    <s v="Christopher Bass"/>
    <s v="2019-07-22"/>
    <x v="1"/>
    <x v="1"/>
    <n v="39795"/>
    <s v="A"/>
    <n v="1670"/>
    <s v="None"/>
    <n v="0"/>
    <n v="2"/>
    <s v="Excel Workshop"/>
    <x v="3"/>
    <s v="None"/>
  </r>
  <r>
    <n v="3078"/>
    <s v="Emily Walker"/>
    <x v="0"/>
    <n v="21"/>
    <x v="0"/>
    <x v="0"/>
    <x v="0"/>
    <x v="4"/>
    <s v="Sean Tucker PhD"/>
    <s v="2018-11-29"/>
    <x v="1"/>
    <x v="2"/>
    <n v="59506"/>
    <s v="A"/>
    <n v="4428"/>
    <s v="Health + Dental"/>
    <n v="0"/>
    <n v="1"/>
    <s v="None"/>
    <x v="3"/>
    <s v="Certified Professional"/>
  </r>
  <r>
    <n v="6357"/>
    <s v="Vickie Lewis"/>
    <x v="0"/>
    <n v="46"/>
    <x v="4"/>
    <x v="2"/>
    <x v="1"/>
    <x v="4"/>
    <s v="Jacob Scott"/>
    <s v="2022-11-14"/>
    <x v="1"/>
    <x v="2"/>
    <n v="49058"/>
    <s v="B"/>
    <n v="4396"/>
    <s v="None"/>
    <n v="5"/>
    <n v="1"/>
    <s v="None"/>
    <x v="3"/>
    <s v="None"/>
  </r>
  <r>
    <n v="7951"/>
    <s v="Alexis Clark"/>
    <x v="0"/>
    <n v="36"/>
    <x v="2"/>
    <x v="3"/>
    <x v="2"/>
    <x v="4"/>
    <s v="Joel Park"/>
    <s v="2016-02-23"/>
    <x v="1"/>
    <x v="0"/>
    <n v="98612"/>
    <s v="A"/>
    <n v="1168"/>
    <s v="None"/>
    <n v="9"/>
    <n v="2"/>
    <s v="Excel Workshop"/>
    <x v="0"/>
    <s v="Certified Professional"/>
  </r>
  <r>
    <n v="9228"/>
    <s v="Robert Davis"/>
    <x v="1"/>
    <n v="41"/>
    <x v="2"/>
    <x v="4"/>
    <x v="3"/>
    <x v="1"/>
    <s v="Russell Marshall"/>
    <s v="2018-05-18"/>
    <x v="2"/>
    <x v="1"/>
    <n v="38201"/>
    <s v="A"/>
    <n v="7111"/>
    <s v="Health"/>
    <n v="8"/>
    <n v="4"/>
    <s v="Leadership Training"/>
    <x v="3"/>
    <s v="None"/>
  </r>
  <r>
    <n v="8988"/>
    <s v="Daniel Brown MD"/>
    <x v="1"/>
    <n v="25"/>
    <x v="0"/>
    <x v="0"/>
    <x v="2"/>
    <x v="2"/>
    <s v="James Holden"/>
    <s v="2024-03-09"/>
    <x v="2"/>
    <x v="1"/>
    <n v="92919"/>
    <s v="D"/>
    <n v="9497"/>
    <s v="Health"/>
    <n v="7"/>
    <n v="2"/>
    <s v="None"/>
    <x v="3"/>
    <s v="Advanced Training"/>
  </r>
  <r>
    <n v="1952"/>
    <s v="Anna Payne"/>
    <x v="0"/>
    <n v="29"/>
    <x v="1"/>
    <x v="4"/>
    <x v="0"/>
    <x v="1"/>
    <s v="Thomas Murphy"/>
    <s v="2024-03-27"/>
    <x v="0"/>
    <x v="2"/>
    <n v="45188"/>
    <s v="A"/>
    <n v="9591"/>
    <s v="Health + Dental"/>
    <n v="18"/>
    <n v="3"/>
    <s v="Leadership Training"/>
    <x v="3"/>
    <s v="None"/>
  </r>
  <r>
    <n v="5760"/>
    <s v="Rhonda Pena"/>
    <x v="0"/>
    <n v="59"/>
    <x v="3"/>
    <x v="2"/>
    <x v="1"/>
    <x v="0"/>
    <s v="Mark Abbott"/>
    <s v="2019-12-23"/>
    <x v="0"/>
    <x v="1"/>
    <n v="34927"/>
    <s v="D"/>
    <n v="6996"/>
    <s v="Health + Dental"/>
    <n v="16"/>
    <n v="1"/>
    <s v="Excel Workshop"/>
    <x v="0"/>
    <s v="Certified Professional"/>
  </r>
  <r>
    <n v="5742"/>
    <s v="Nicole Gonzalez"/>
    <x v="0"/>
    <n v="27"/>
    <x v="1"/>
    <x v="0"/>
    <x v="2"/>
    <x v="3"/>
    <s v="Robin Lynch"/>
    <s v="2016-08-25"/>
    <x v="0"/>
    <x v="1"/>
    <n v="33183"/>
    <s v="A"/>
    <n v="1659"/>
    <s v="None"/>
    <n v="11"/>
    <n v="1"/>
    <s v="Leadership Training"/>
    <x v="2"/>
    <s v="Non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402D924-EEE2-4D39-8668-130408ED7933}" name="PivotTable16" cacheId="16" applyNumberFormats="0" applyBorderFormats="0" applyFontFormats="0" applyPatternFormats="0" applyAlignmentFormats="0" applyWidthHeightFormats="1" dataCaption="Values" updatedVersion="8" minRefreshableVersion="3" preserveFormatting="0" useAutoFormatting="1" itemPrintTitles="1" createdVersion="8" indent="0" outline="1" outlineData="1" multipleFieldFilters="0" chartFormat="15">
  <location ref="AA5:AB11" firstHeaderRow="1" firstDataRow="1" firstDataCol="1"/>
  <pivotFields count="21">
    <pivotField showAll="0"/>
    <pivotField showAll="0"/>
    <pivotField showAll="0"/>
    <pivotField showAll="0"/>
    <pivotField showAll="0"/>
    <pivotField showAll="0">
      <items count="6">
        <item x="1"/>
        <item x="0"/>
        <item x="4"/>
        <item x="3"/>
        <item x="2"/>
        <item t="default"/>
      </items>
    </pivotField>
    <pivotField showAll="0">
      <items count="6">
        <item x="4"/>
        <item x="1"/>
        <item x="3"/>
        <item x="2"/>
        <item x="0"/>
        <item t="default"/>
      </items>
    </pivotField>
    <pivotField axis="axisRow" showAll="0">
      <items count="6">
        <item x="0"/>
        <item x="1"/>
        <item x="4"/>
        <item x="2"/>
        <item x="3"/>
        <item t="default"/>
      </items>
    </pivotField>
    <pivotField showAll="0"/>
    <pivotField showAll="0"/>
    <pivotField showAll="0">
      <items count="4">
        <item x="1"/>
        <item x="0"/>
        <item x="2"/>
        <item t="default"/>
      </items>
    </pivotField>
    <pivotField showAll="0">
      <items count="4">
        <item x="1"/>
        <item x="0"/>
        <item x="2"/>
        <item t="default"/>
      </items>
    </pivotField>
    <pivotField showAll="0"/>
    <pivotField showAll="0"/>
    <pivotField showAll="0"/>
    <pivotField showAll="0"/>
    <pivotField showAll="0"/>
    <pivotField dataField="1" showAll="0"/>
    <pivotField showAll="0"/>
    <pivotField showAll="0"/>
    <pivotField showAll="0"/>
  </pivotFields>
  <rowFields count="1">
    <field x="7"/>
  </rowFields>
  <rowItems count="6">
    <i>
      <x/>
    </i>
    <i>
      <x v="1"/>
    </i>
    <i>
      <x v="2"/>
    </i>
    <i>
      <x v="3"/>
    </i>
    <i>
      <x v="4"/>
    </i>
    <i t="grand">
      <x/>
    </i>
  </rowItems>
  <colItems count="1">
    <i/>
  </colItems>
  <dataFields count="1">
    <dataField name="Average of Performance Rating" fld="17" subtotal="average" baseField="7"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B280944-8E7D-4308-ABCD-B1C3A897697C}" name="PivotTable15" cacheId="16" applyNumberFormats="0" applyBorderFormats="0" applyFontFormats="0" applyPatternFormats="0" applyAlignmentFormats="0" applyWidthHeightFormats="1" dataCaption="Values" updatedVersion="8" minRefreshableVersion="3" preserveFormatting="0" useAutoFormatting="1" itemPrintTitles="1" createdVersion="8" indent="0" outline="1" outlineData="1" multipleFieldFilters="0" chartFormat="17">
  <location ref="Q3:R9" firstHeaderRow="1" firstDataRow="1" firstDataCol="1"/>
  <pivotFields count="21">
    <pivotField showAll="0"/>
    <pivotField dataField="1" showAll="0"/>
    <pivotField showAll="0"/>
    <pivotField showAll="0"/>
    <pivotField showAll="0"/>
    <pivotField axis="axisRow" showAll="0">
      <items count="6">
        <item x="1"/>
        <item x="0"/>
        <item x="4"/>
        <item x="3"/>
        <item x="2"/>
        <item t="default"/>
      </items>
    </pivotField>
    <pivotField showAll="0">
      <items count="6">
        <item x="4"/>
        <item x="1"/>
        <item x="3"/>
        <item x="2"/>
        <item x="0"/>
        <item t="default"/>
      </items>
    </pivotField>
    <pivotField showAll="0">
      <items count="6">
        <item x="0"/>
        <item x="1"/>
        <item x="4"/>
        <item x="2"/>
        <item x="3"/>
        <item t="default"/>
      </items>
    </pivotField>
    <pivotField showAll="0"/>
    <pivotField showAll="0"/>
    <pivotField showAll="0">
      <items count="4">
        <item x="1"/>
        <item x="0"/>
        <item x="2"/>
        <item t="default"/>
      </items>
    </pivotField>
    <pivotField showAll="0">
      <items count="4">
        <item x="1"/>
        <item x="0"/>
        <item x="2"/>
        <item t="default"/>
      </items>
    </pivotField>
    <pivotField showAll="0"/>
    <pivotField showAll="0"/>
    <pivotField showAll="0"/>
    <pivotField showAll="0"/>
    <pivotField showAll="0"/>
    <pivotField showAll="0"/>
    <pivotField showAll="0"/>
    <pivotField showAll="0"/>
    <pivotField showAll="0"/>
  </pivotFields>
  <rowFields count="1">
    <field x="5"/>
  </rowFields>
  <rowItems count="6">
    <i>
      <x/>
    </i>
    <i>
      <x v="1"/>
    </i>
    <i>
      <x v="2"/>
    </i>
    <i>
      <x v="3"/>
    </i>
    <i>
      <x v="4"/>
    </i>
    <i t="grand">
      <x/>
    </i>
  </rowItems>
  <colItems count="1">
    <i/>
  </colItems>
  <dataFields count="1">
    <dataField name="Count of Full Name" fld="1" subtotal="count" baseField="0" baseItem="0"/>
  </dataFields>
  <chartFormats count="3">
    <chartFormat chart="6"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691BDE1-D798-4152-B58B-789A3A90A92A}" name="PivotTable12" cacheId="16" applyNumberFormats="0" applyBorderFormats="0" applyFontFormats="0" applyPatternFormats="0" applyAlignmentFormats="0" applyWidthHeightFormats="1" dataCaption="Values" updatedVersion="8" minRefreshableVersion="3" preserveFormatting="0" useAutoFormatting="1" itemPrintTitles="1" createdVersion="8" indent="0" outline="1" outlineData="1" multipleFieldFilters="0">
  <location ref="W4:Y10" firstHeaderRow="0" firstDataRow="1" firstDataCol="1"/>
  <pivotFields count="21">
    <pivotField showAll="0"/>
    <pivotField showAll="0"/>
    <pivotField showAll="0">
      <items count="3">
        <item x="0"/>
        <item x="1"/>
        <item t="default"/>
      </items>
    </pivotField>
    <pivotField showAll="0"/>
    <pivotField showAll="0"/>
    <pivotField showAll="0"/>
    <pivotField axis="axisRow" showAll="0">
      <items count="6">
        <item x="4"/>
        <item x="1"/>
        <item x="3"/>
        <item x="2"/>
        <item x="0"/>
        <item t="default"/>
      </items>
    </pivotField>
    <pivotField showAll="0">
      <items count="6">
        <item x="0"/>
        <item x="1"/>
        <item x="4"/>
        <item x="2"/>
        <item x="3"/>
        <item t="default"/>
      </items>
    </pivotField>
    <pivotField showAll="0"/>
    <pivotField showAll="0"/>
    <pivotField showAll="0">
      <items count="4">
        <item x="1"/>
        <item x="0"/>
        <item x="2"/>
        <item t="default"/>
      </items>
    </pivotField>
    <pivotField showAll="0"/>
    <pivotField dataField="1" showAll="0"/>
    <pivotField showAll="0"/>
    <pivotField showAll="0"/>
    <pivotField showAll="0"/>
    <pivotField dataField="1" showAll="0"/>
    <pivotField showAll="0"/>
    <pivotField showAll="0"/>
    <pivotField showAll="0"/>
    <pivotField showAll="0"/>
  </pivotFields>
  <rowFields count="1">
    <field x="6"/>
  </rowFields>
  <rowItems count="6">
    <i>
      <x/>
    </i>
    <i>
      <x v="1"/>
    </i>
    <i>
      <x v="2"/>
    </i>
    <i>
      <x v="3"/>
    </i>
    <i>
      <x v="4"/>
    </i>
    <i t="grand">
      <x/>
    </i>
  </rowItems>
  <colFields count="1">
    <field x="-2"/>
  </colFields>
  <colItems count="2">
    <i>
      <x/>
    </i>
    <i i="1">
      <x v="1"/>
    </i>
  </colItems>
  <dataFields count="2">
    <dataField name="Sum of Salary" fld="12" baseField="0" baseItem="0"/>
    <dataField name="Sum of Leave Taken" fld="1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C51BEA4-11F1-443F-9901-C2244B33DDC2}" name="skills" cacheId="16" applyNumberFormats="0" applyBorderFormats="0" applyFontFormats="0" applyPatternFormats="0" applyAlignmentFormats="0" applyWidthHeightFormats="1" dataCaption="Values" updatedVersion="8" minRefreshableVersion="3" preserveFormatting="0" useAutoFormatting="1" itemPrintTitles="1" createdVersion="8" indent="0" outline="1" outlineData="1" multipleFieldFilters="0">
  <location ref="T3:U9" firstHeaderRow="1" firstDataRow="1" firstDataCol="1"/>
  <pivotFields count="21">
    <pivotField showAll="0"/>
    <pivotField dataField="1" showAll="0"/>
    <pivotField showAll="0"/>
    <pivotField showAll="0"/>
    <pivotField showAll="0"/>
    <pivotField showAll="0"/>
    <pivotField showAll="0">
      <items count="6">
        <item x="4"/>
        <item x="1"/>
        <item x="3"/>
        <item x="2"/>
        <item x="0"/>
        <item t="default"/>
      </items>
    </pivotField>
    <pivotField showAll="0">
      <items count="6">
        <item x="0"/>
        <item x="1"/>
        <item x="4"/>
        <item x="2"/>
        <item x="3"/>
        <item t="default"/>
      </items>
    </pivotField>
    <pivotField showAll="0"/>
    <pivotField showAll="0"/>
    <pivotField showAll="0">
      <items count="4">
        <item x="1"/>
        <item x="0"/>
        <item x="2"/>
        <item t="default"/>
      </items>
    </pivotField>
    <pivotField showAll="0">
      <items count="4">
        <item x="1"/>
        <item x="0"/>
        <item x="2"/>
        <item t="default"/>
      </items>
    </pivotField>
    <pivotField showAll="0"/>
    <pivotField showAll="0"/>
    <pivotField showAll="0"/>
    <pivotField showAll="0"/>
    <pivotField showAll="0"/>
    <pivotField showAll="0"/>
    <pivotField showAll="0"/>
    <pivotField axis="axisRow" showAll="0">
      <items count="6">
        <item x="3"/>
        <item x="0"/>
        <item x="4"/>
        <item x="1"/>
        <item x="2"/>
        <item t="default"/>
      </items>
    </pivotField>
    <pivotField showAll="0"/>
  </pivotFields>
  <rowFields count="1">
    <field x="19"/>
  </rowFields>
  <rowItems count="6">
    <i>
      <x/>
    </i>
    <i>
      <x v="1"/>
    </i>
    <i>
      <x v="2"/>
    </i>
    <i>
      <x v="3"/>
    </i>
    <i>
      <x v="4"/>
    </i>
    <i t="grand">
      <x/>
    </i>
  </rowItems>
  <colItems count="1">
    <i/>
  </colItems>
  <dataFields count="1">
    <dataField name="Count of Full Name"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DC94A27-42B6-4F0D-BD9B-2DF44F7E046B}" name="workPlace" cacheId="16" applyNumberFormats="0" applyBorderFormats="0" applyFontFormats="0" applyPatternFormats="0" applyAlignmentFormats="0" applyWidthHeightFormats="1" dataCaption="Values" updatedVersion="8" minRefreshableVersion="3" preserveFormatting="0" useAutoFormatting="1" itemPrintTitles="1" createdVersion="8" indent="0" outline="1" outlineData="1" multipleFieldFilters="0">
  <location ref="M4:N8" firstHeaderRow="1" firstDataRow="1" firstDataCol="1"/>
  <pivotFields count="21">
    <pivotField showAll="0"/>
    <pivotField dataField="1" showAll="0"/>
    <pivotField showAll="0"/>
    <pivotField showAll="0"/>
    <pivotField showAll="0"/>
    <pivotField showAll="0"/>
    <pivotField showAll="0">
      <items count="6">
        <item x="4"/>
        <item x="1"/>
        <item x="3"/>
        <item x="2"/>
        <item x="0"/>
        <item t="default"/>
      </items>
    </pivotField>
    <pivotField showAll="0">
      <items count="6">
        <item x="0"/>
        <item x="1"/>
        <item x="4"/>
        <item x="2"/>
        <item x="3"/>
        <item t="default"/>
      </items>
    </pivotField>
    <pivotField showAll="0"/>
    <pivotField showAll="0"/>
    <pivotField showAll="0">
      <items count="4">
        <item x="1"/>
        <item x="0"/>
        <item x="2"/>
        <item t="default"/>
      </items>
    </pivotField>
    <pivotField axis="axisRow" showAll="0">
      <items count="4">
        <item x="1"/>
        <item x="0"/>
        <item x="2"/>
        <item t="default"/>
      </items>
    </pivotField>
    <pivotField showAll="0"/>
    <pivotField showAll="0"/>
    <pivotField showAll="0"/>
    <pivotField showAll="0"/>
    <pivotField showAll="0"/>
    <pivotField showAll="0"/>
    <pivotField showAll="0"/>
    <pivotField showAll="0"/>
    <pivotField showAll="0"/>
  </pivotFields>
  <rowFields count="1">
    <field x="11"/>
  </rowFields>
  <rowItems count="4">
    <i>
      <x/>
    </i>
    <i>
      <x v="1"/>
    </i>
    <i>
      <x v="2"/>
    </i>
    <i t="grand">
      <x/>
    </i>
  </rowItems>
  <colItems count="1">
    <i/>
  </colItems>
  <dataFields count="1">
    <dataField name="Count of Full Name"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F2CE5FA-F633-49AA-A9C1-1AC6EAA09210}" name="PivotTable8" cacheId="16" applyNumberFormats="0" applyBorderFormats="0" applyFontFormats="0" applyPatternFormats="0" applyAlignmentFormats="0" applyWidthHeightFormats="1" dataCaption="Values" updatedVersion="8" minRefreshableVersion="3" preserveFormatting="0" useAutoFormatting="1" itemPrintTitles="1" createdVersion="8" indent="0" outline="1" outlineData="1" multipleFieldFilters="0" chartFormat="14">
  <location ref="H3:K10" firstHeaderRow="1" firstDataRow="2" firstDataCol="1"/>
  <pivotFields count="21">
    <pivotField showAll="0"/>
    <pivotField dataField="1" showAll="0"/>
    <pivotField axis="axisCol" showAll="0">
      <items count="3">
        <item x="0"/>
        <item x="1"/>
        <item t="default"/>
      </items>
    </pivotField>
    <pivotField showAll="0"/>
    <pivotField axis="axisRow" showAll="0">
      <items count="6">
        <item x="0"/>
        <item x="1"/>
        <item x="2"/>
        <item x="4"/>
        <item x="3"/>
        <item t="default"/>
      </items>
    </pivotField>
    <pivotField showAll="0"/>
    <pivotField showAll="0">
      <items count="6">
        <item x="4"/>
        <item x="1"/>
        <item x="3"/>
        <item x="2"/>
        <item x="0"/>
        <item t="default"/>
      </items>
    </pivotField>
    <pivotField showAll="0">
      <items count="6">
        <item x="0"/>
        <item x="1"/>
        <item x="4"/>
        <item x="2"/>
        <item x="3"/>
        <item t="default"/>
      </items>
    </pivotField>
    <pivotField showAll="0"/>
    <pivotField showAll="0"/>
    <pivotField showAll="0">
      <items count="4">
        <item x="1"/>
        <item x="0"/>
        <item x="2"/>
        <item t="default"/>
      </items>
    </pivotField>
    <pivotField showAll="0"/>
    <pivotField showAll="0"/>
    <pivotField showAll="0"/>
    <pivotField showAll="0"/>
    <pivotField showAll="0"/>
    <pivotField showAll="0"/>
    <pivotField showAll="0"/>
    <pivotField showAll="0"/>
    <pivotField showAll="0"/>
    <pivotField showAll="0"/>
  </pivotFields>
  <rowFields count="1">
    <field x="4"/>
  </rowFields>
  <rowItems count="6">
    <i>
      <x/>
    </i>
    <i>
      <x v="1"/>
    </i>
    <i>
      <x v="2"/>
    </i>
    <i>
      <x v="3"/>
    </i>
    <i>
      <x v="4"/>
    </i>
    <i t="grand">
      <x/>
    </i>
  </rowItems>
  <colFields count="1">
    <field x="2"/>
  </colFields>
  <colItems count="3">
    <i>
      <x/>
    </i>
    <i>
      <x v="1"/>
    </i>
    <i t="grand">
      <x/>
    </i>
  </colItems>
  <dataFields count="1">
    <dataField name="Count of Full Name" fld="1" subtotal="count" baseField="0" baseItem="0"/>
  </dataFields>
  <chartFormats count="2">
    <chartFormat chart="9" format="4" series="1">
      <pivotArea type="data" outline="0" fieldPosition="0">
        <references count="2">
          <reference field="4294967294" count="1" selected="0">
            <x v="0"/>
          </reference>
          <reference field="2" count="1" selected="0">
            <x v="0"/>
          </reference>
        </references>
      </pivotArea>
    </chartFormat>
    <chartFormat chart="9" format="5"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6F6B354-4086-4ED4-BAEF-6BA846BB4B56}" name="salary to department" cacheId="16" applyNumberFormats="0" applyBorderFormats="0" applyFontFormats="0" applyPatternFormats="0" applyAlignmentFormats="0" applyWidthHeightFormats="1" dataCaption="Values" updatedVersion="8" minRefreshableVersion="3" preserveFormatting="0" useAutoFormatting="1" itemPrintTitles="1" createdVersion="8" indent="0" outline="1" outlineData="1" multipleFieldFilters="0">
  <location ref="E3:F9" firstHeaderRow="1" firstDataRow="1" firstDataCol="1"/>
  <pivotFields count="21">
    <pivotField showAll="0"/>
    <pivotField showAll="0"/>
    <pivotField showAll="0"/>
    <pivotField showAll="0"/>
    <pivotField showAll="0"/>
    <pivotField showAll="0"/>
    <pivotField axis="axisRow" showAll="0">
      <items count="6">
        <item x="4"/>
        <item x="1"/>
        <item x="3"/>
        <item x="2"/>
        <item x="0"/>
        <item t="default"/>
      </items>
    </pivotField>
    <pivotField showAll="0">
      <items count="6">
        <item x="0"/>
        <item x="1"/>
        <item x="4"/>
        <item x="2"/>
        <item x="3"/>
        <item t="default"/>
      </items>
    </pivotField>
    <pivotField showAll="0"/>
    <pivotField showAll="0"/>
    <pivotField showAll="0">
      <items count="4">
        <item x="1"/>
        <item x="0"/>
        <item x="2"/>
        <item t="default"/>
      </items>
    </pivotField>
    <pivotField showAll="0"/>
    <pivotField dataField="1" showAll="0"/>
    <pivotField showAll="0"/>
    <pivotField showAll="0"/>
    <pivotField showAll="0"/>
    <pivotField showAll="0"/>
    <pivotField showAll="0"/>
    <pivotField showAll="0"/>
    <pivotField showAll="0"/>
    <pivotField showAll="0"/>
  </pivotFields>
  <rowFields count="1">
    <field x="6"/>
  </rowFields>
  <rowItems count="6">
    <i>
      <x/>
    </i>
    <i>
      <x v="1"/>
    </i>
    <i>
      <x v="2"/>
    </i>
    <i>
      <x v="3"/>
    </i>
    <i>
      <x v="4"/>
    </i>
    <i t="grand">
      <x/>
    </i>
  </rowItems>
  <colItems count="1">
    <i/>
  </colItems>
  <dataFields count="1">
    <dataField name="Sum of Salary"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C5B6C25-52DE-44F0-9922-A4D17715028C}" name="emplyee  stutes" cacheId="16" applyNumberFormats="0" applyBorderFormats="0" applyFontFormats="0" applyPatternFormats="0" applyAlignmentFormats="0" applyWidthHeightFormats="1" dataCaption="Values" updatedVersion="8" minRefreshableVersion="3" preserveFormatting="0" itemPrintTitles="1" createdVersion="8" indent="0" outline="1" outlineData="1" multipleFieldFilters="0">
  <location ref="B3:C7" firstHeaderRow="1" firstDataRow="1" firstDataCol="1"/>
  <pivotFields count="21">
    <pivotField showAll="0"/>
    <pivotField dataField="1" showAll="0"/>
    <pivotField showAll="0"/>
    <pivotField showAll="0"/>
    <pivotField showAll="0"/>
    <pivotField showAll="0"/>
    <pivotField showAll="0"/>
    <pivotField showAll="0">
      <items count="6">
        <item x="0"/>
        <item x="1"/>
        <item x="4"/>
        <item x="2"/>
        <item x="3"/>
        <item t="default"/>
      </items>
    </pivotField>
    <pivotField showAll="0"/>
    <pivotField showAll="0"/>
    <pivotField axis="axisRow" showAll="0">
      <items count="4">
        <item x="1"/>
        <item x="0"/>
        <item x="2"/>
        <item t="default"/>
      </items>
    </pivotField>
    <pivotField showAll="0"/>
    <pivotField showAll="0"/>
    <pivotField showAll="0"/>
    <pivotField showAll="0"/>
    <pivotField showAll="0"/>
    <pivotField showAll="0"/>
    <pivotField showAll="0"/>
    <pivotField showAll="0"/>
    <pivotField showAll="0"/>
    <pivotField showAll="0"/>
  </pivotFields>
  <rowFields count="1">
    <field x="10"/>
  </rowFields>
  <rowItems count="4">
    <i>
      <x/>
    </i>
    <i>
      <x v="1"/>
    </i>
    <i>
      <x v="2"/>
    </i>
    <i t="grand">
      <x/>
    </i>
  </rowItems>
  <colItems count="1">
    <i/>
  </colItems>
  <dataFields count="1">
    <dataField name="Count of Full Name"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69555DDE-7991-4598-B29E-B4E5E2B1D06E}" sourceName="Gender">
  <pivotTables>
    <pivotTable tabId="3" name="PivotTable12"/>
  </pivotTables>
  <data>
    <tabular pivotCacheId="576713197">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4B1B3B33-B96A-4F9C-8890-4EA2B7EB8FB4}" sourceName="Department">
  <pivotTables>
    <pivotTable tabId="3" name="PivotTable12"/>
    <pivotTable tabId="3" name="emplyee  stutes"/>
    <pivotTable tabId="3" name="PivotTable15"/>
    <pivotTable tabId="3" name="PivotTable16"/>
    <pivotTable tabId="3" name="PivotTable8"/>
    <pivotTable tabId="3" name="salary to department"/>
    <pivotTable tabId="3" name="skills"/>
    <pivotTable tabId="3" name="workPlace"/>
  </pivotTables>
  <data>
    <tabular pivotCacheId="576713197">
      <items count="5">
        <i x="0" s="1"/>
        <i x="1" s="1"/>
        <i x="4"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3270E589-29A2-406B-B853-EA855B02D9F4}" cache="Slicer_Gender" caption="Gender" style="Slicer Style 1" rowHeight="247650"/>
  <slicer name="Department" xr10:uid="{03C795FB-62F1-49F7-B3EB-F434D85C7E10}" cache="Slicer_Department" caption="Department" columnCount="3" style="Slicer Style 1"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D7F130C-4931-4EC9-8AE2-A64F6556D3A3}" name="Table1" displayName="Table1" ref="A1:U51" totalsRowShown="0" headerRowDxfId="24" dataDxfId="23">
  <autoFilter ref="A1:U51" xr:uid="{BD7F130C-4931-4EC9-8AE2-A64F6556D3A3}"/>
  <tableColumns count="21">
    <tableColumn id="1" xr3:uid="{6BDBB43D-1DF4-4FF3-9C56-0E3D699A83FC}" name="Employee ID" dataDxfId="22"/>
    <tableColumn id="2" xr3:uid="{363D91B7-21AD-4B4B-86DE-95D24769EAA5}" name="Full Name" dataDxfId="21"/>
    <tableColumn id="3" xr3:uid="{728245EC-9766-45F5-9851-7FEFEFBE2652}" name="Gender" dataDxfId="20"/>
    <tableColumn id="4" xr3:uid="{DD8A90D1-163F-4B0E-A039-9E7A16AFC106}" name="Age" dataDxfId="19"/>
    <tableColumn id="5" xr3:uid="{0672993B-A00D-49AE-84B7-674089468A17}" name="Age range" dataDxfId="18"/>
    <tableColumn id="6" xr3:uid="{B1ADEE80-60F1-4EE3-B3FB-8484EE6C17B3}" name="Region" dataDxfId="17"/>
    <tableColumn id="7" xr3:uid="{8E0A56EE-3456-4513-ADA0-27F6CAA8C17B}" name="Job Title" dataDxfId="16"/>
    <tableColumn id="8" xr3:uid="{0D9D5DB9-01CB-4300-B0CD-256901621ADC}" name="Department" dataDxfId="15"/>
    <tableColumn id="9" xr3:uid="{9EBDAC3F-6A39-4A78-B562-848691EE3AD1}" name="Manager/Supervisor" dataDxfId="14"/>
    <tableColumn id="10" xr3:uid="{AF849F24-150A-4123-B3F8-A46B4D4F7BC6}" name="Date of Hire" dataDxfId="13"/>
    <tableColumn id="11" xr3:uid="{8C57202E-334A-462A-9C44-E5E2468122E4}" name="Employment Status" dataDxfId="12"/>
    <tableColumn id="12" xr3:uid="{8A07812C-245C-4D55-A210-3AE7E0BB84EB}" name="Work Location" dataDxfId="11"/>
    <tableColumn id="13" xr3:uid="{6441036C-01DD-4130-8E4B-DBA441BCB744}" name="Salary" dataDxfId="10"/>
    <tableColumn id="14" xr3:uid="{ADCF531A-A98E-422C-939D-04D58C2423FB}" name="Pay Grade" dataDxfId="9"/>
    <tableColumn id="15" xr3:uid="{DE922695-AE31-4F31-8F89-61E6E7E646AB}" name="Bonus/Allowances" dataDxfId="8"/>
    <tableColumn id="16" xr3:uid="{62F2B816-9954-4A01-AEDC-4C13B3A2A52F}" name="Insurance Details" dataDxfId="7"/>
    <tableColumn id="17" xr3:uid="{6EFEC335-9B75-45D5-B403-A8A9E557BE24}" name="Leave Taken" dataDxfId="6"/>
    <tableColumn id="18" xr3:uid="{9DA1B78E-154E-42E4-A1BC-FE1CF363DCBA}" name="Performance Rating" dataDxfId="5"/>
    <tableColumn id="19" xr3:uid="{7E4B5E79-5639-4E3A-91A1-D1D8767BB705}" name="Training Programs Attended" dataDxfId="4"/>
    <tableColumn id="20" xr3:uid="{2E731344-8C6D-4001-9E36-F16B80500F61}" name="Skills" dataDxfId="3"/>
    <tableColumn id="21" xr3:uid="{9DCE550B-F788-4423-B330-CAB70C041DFC}" name="Certifications" dataDxfId="2"/>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6DDBEA-0C7D-4729-B9B7-DD33FC9EA67D}">
  <dimension ref="A1:U51"/>
  <sheetViews>
    <sheetView topLeftCell="A2" workbookViewId="0">
      <selection activeCell="J11" sqref="J11"/>
    </sheetView>
  </sheetViews>
  <sheetFormatPr defaultColWidth="9.109375" defaultRowHeight="13.8"/>
  <cols>
    <col min="1" max="1" width="17.6640625" style="2" bestFit="1" customWidth="1"/>
    <col min="2" max="2" width="18.109375" style="2" bestFit="1" customWidth="1"/>
    <col min="3" max="3" width="12.88671875" style="2" bestFit="1" customWidth="1"/>
    <col min="4" max="4" width="9.5546875" style="2" bestFit="1" customWidth="1"/>
    <col min="5" max="5" width="15.88671875" style="2" bestFit="1" customWidth="1"/>
    <col min="6" max="6" width="12.33203125" style="2" bestFit="1" customWidth="1"/>
    <col min="7" max="7" width="14.109375" style="2" bestFit="1" customWidth="1"/>
    <col min="8" max="8" width="17.44140625" style="2" bestFit="1" customWidth="1"/>
    <col min="9" max="9" width="25.6640625" style="2" bestFit="1" customWidth="1"/>
    <col min="10" max="10" width="18" style="2" bestFit="1" customWidth="1"/>
    <col min="11" max="11" width="25" style="2" bestFit="1" customWidth="1"/>
    <col min="12" max="12" width="20.33203125" style="2" bestFit="1" customWidth="1"/>
    <col min="13" max="13" width="11.88671875" style="2" bestFit="1" customWidth="1"/>
    <col min="14" max="14" width="16.109375" style="2" bestFit="1" customWidth="1"/>
    <col min="15" max="15" width="24" style="2" bestFit="1" customWidth="1"/>
    <col min="16" max="16" width="22.6640625" style="2" bestFit="1" customWidth="1"/>
    <col min="17" max="17" width="18.109375" style="2" bestFit="1" customWidth="1"/>
    <col min="18" max="18" width="25.44140625" style="2" bestFit="1" customWidth="1"/>
    <col min="19" max="19" width="34" style="2" bestFit="1" customWidth="1"/>
    <col min="20" max="20" width="16" style="2" bestFit="1" customWidth="1"/>
    <col min="21" max="21" width="21.109375" style="2" bestFit="1" customWidth="1"/>
    <col min="22" max="16384" width="9.109375" style="2"/>
  </cols>
  <sheetData>
    <row r="1" spans="1:21" ht="43.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c r="A2" s="3">
        <v>4294</v>
      </c>
      <c r="B2" s="3" t="s">
        <v>21</v>
      </c>
      <c r="C2" s="3" t="s">
        <v>22</v>
      </c>
      <c r="D2" s="3">
        <v>25</v>
      </c>
      <c r="E2" s="3" t="s">
        <v>23</v>
      </c>
      <c r="F2" s="3" t="s">
        <v>24</v>
      </c>
      <c r="G2" s="3" t="s">
        <v>25</v>
      </c>
      <c r="H2" s="3" t="s">
        <v>26</v>
      </c>
      <c r="I2" s="3" t="s">
        <v>27</v>
      </c>
      <c r="J2" s="3" t="s">
        <v>28</v>
      </c>
      <c r="K2" s="3" t="s">
        <v>29</v>
      </c>
      <c r="L2" s="3" t="s">
        <v>30</v>
      </c>
      <c r="M2" s="3">
        <v>53700</v>
      </c>
      <c r="N2" s="3" t="s">
        <v>31</v>
      </c>
      <c r="O2" s="3">
        <v>1463</v>
      </c>
      <c r="P2" s="3" t="s">
        <v>32</v>
      </c>
      <c r="Q2" s="3">
        <v>1</v>
      </c>
      <c r="R2" s="3">
        <v>1</v>
      </c>
      <c r="S2" s="3" t="s">
        <v>33</v>
      </c>
      <c r="T2" s="3" t="s">
        <v>34</v>
      </c>
      <c r="U2" s="3" t="s">
        <v>35</v>
      </c>
    </row>
    <row r="3" spans="1:21">
      <c r="A3" s="3">
        <v>9116</v>
      </c>
      <c r="B3" s="3" t="s">
        <v>36</v>
      </c>
      <c r="C3" s="3" t="s">
        <v>37</v>
      </c>
      <c r="D3" s="3">
        <v>27</v>
      </c>
      <c r="E3" s="3" t="s">
        <v>38</v>
      </c>
      <c r="F3" s="3" t="s">
        <v>39</v>
      </c>
      <c r="G3" s="3" t="s">
        <v>40</v>
      </c>
      <c r="H3" s="3" t="s">
        <v>41</v>
      </c>
      <c r="I3" s="3" t="s">
        <v>42</v>
      </c>
      <c r="J3" s="3" t="s">
        <v>43</v>
      </c>
      <c r="K3" s="3" t="s">
        <v>29</v>
      </c>
      <c r="L3" s="3" t="s">
        <v>44</v>
      </c>
      <c r="M3" s="3">
        <v>91091</v>
      </c>
      <c r="N3" s="3" t="s">
        <v>45</v>
      </c>
      <c r="O3" s="3">
        <v>1024</v>
      </c>
      <c r="P3" s="3" t="s">
        <v>46</v>
      </c>
      <c r="Q3" s="3">
        <v>19</v>
      </c>
      <c r="R3" s="3">
        <v>4</v>
      </c>
      <c r="S3" s="3" t="s">
        <v>47</v>
      </c>
      <c r="T3" s="3" t="s">
        <v>34</v>
      </c>
      <c r="U3" s="3" t="s">
        <v>35</v>
      </c>
    </row>
    <row r="4" spans="1:21">
      <c r="A4" s="3">
        <v>5120</v>
      </c>
      <c r="B4" s="3" t="s">
        <v>48</v>
      </c>
      <c r="C4" s="3" t="s">
        <v>37</v>
      </c>
      <c r="D4" s="3">
        <v>34</v>
      </c>
      <c r="E4" s="3" t="s">
        <v>38</v>
      </c>
      <c r="F4" s="3" t="s">
        <v>49</v>
      </c>
      <c r="G4" s="3" t="s">
        <v>50</v>
      </c>
      <c r="H4" s="3" t="s">
        <v>51</v>
      </c>
      <c r="I4" s="3" t="s">
        <v>52</v>
      </c>
      <c r="J4" s="3" t="s">
        <v>53</v>
      </c>
      <c r="K4" s="3" t="s">
        <v>29</v>
      </c>
      <c r="L4" s="3" t="s">
        <v>54</v>
      </c>
      <c r="M4" s="3">
        <v>57538</v>
      </c>
      <c r="N4" s="3" t="s">
        <v>55</v>
      </c>
      <c r="O4" s="3">
        <v>1674</v>
      </c>
      <c r="P4" s="3" t="s">
        <v>46</v>
      </c>
      <c r="Q4" s="3">
        <v>8</v>
      </c>
      <c r="R4" s="3">
        <v>1</v>
      </c>
      <c r="S4" s="3" t="s">
        <v>46</v>
      </c>
      <c r="T4" s="3" t="s">
        <v>56</v>
      </c>
      <c r="U4" s="3" t="s">
        <v>57</v>
      </c>
    </row>
    <row r="5" spans="1:21">
      <c r="A5" s="3">
        <v>8071</v>
      </c>
      <c r="B5" s="3" t="s">
        <v>58</v>
      </c>
      <c r="C5" s="3" t="s">
        <v>22</v>
      </c>
      <c r="D5" s="3">
        <v>41</v>
      </c>
      <c r="E5" s="3" t="s">
        <v>59</v>
      </c>
      <c r="F5" s="3" t="s">
        <v>49</v>
      </c>
      <c r="G5" s="3" t="s">
        <v>25</v>
      </c>
      <c r="H5" s="3" t="s">
        <v>60</v>
      </c>
      <c r="I5" s="3" t="s">
        <v>61</v>
      </c>
      <c r="J5" s="3" t="s">
        <v>62</v>
      </c>
      <c r="K5" s="3" t="s">
        <v>63</v>
      </c>
      <c r="L5" s="3" t="s">
        <v>30</v>
      </c>
      <c r="M5" s="3">
        <v>62993</v>
      </c>
      <c r="N5" s="3" t="s">
        <v>64</v>
      </c>
      <c r="O5" s="3">
        <v>2695</v>
      </c>
      <c r="P5" s="3" t="s">
        <v>65</v>
      </c>
      <c r="Q5" s="3">
        <v>0</v>
      </c>
      <c r="R5" s="3">
        <v>2</v>
      </c>
      <c r="S5" s="3" t="s">
        <v>46</v>
      </c>
      <c r="T5" s="3" t="s">
        <v>66</v>
      </c>
      <c r="U5" s="3" t="s">
        <v>46</v>
      </c>
    </row>
    <row r="6" spans="1:21">
      <c r="A6" s="3">
        <v>9351</v>
      </c>
      <c r="B6" s="3" t="s">
        <v>67</v>
      </c>
      <c r="C6" s="3" t="s">
        <v>37</v>
      </c>
      <c r="D6" s="3">
        <v>56</v>
      </c>
      <c r="E6" s="3" t="s">
        <v>68</v>
      </c>
      <c r="F6" s="3" t="s">
        <v>24</v>
      </c>
      <c r="G6" s="3" t="s">
        <v>25</v>
      </c>
      <c r="H6" s="3" t="s">
        <v>51</v>
      </c>
      <c r="I6" s="3" t="s">
        <v>69</v>
      </c>
      <c r="J6" s="3" t="s">
        <v>70</v>
      </c>
      <c r="K6" s="3" t="s">
        <v>63</v>
      </c>
      <c r="L6" s="3" t="s">
        <v>44</v>
      </c>
      <c r="M6" s="3">
        <v>45773</v>
      </c>
      <c r="N6" s="3" t="s">
        <v>64</v>
      </c>
      <c r="O6" s="3">
        <v>8776</v>
      </c>
      <c r="P6" s="3" t="s">
        <v>32</v>
      </c>
      <c r="Q6" s="3">
        <v>16</v>
      </c>
      <c r="R6" s="3">
        <v>4</v>
      </c>
      <c r="S6" s="3" t="s">
        <v>33</v>
      </c>
      <c r="T6" s="3" t="s">
        <v>66</v>
      </c>
      <c r="U6" s="3" t="s">
        <v>46</v>
      </c>
    </row>
    <row r="7" spans="1:21">
      <c r="A7" s="3">
        <v>2873</v>
      </c>
      <c r="B7" s="3" t="s">
        <v>71</v>
      </c>
      <c r="C7" s="3" t="s">
        <v>22</v>
      </c>
      <c r="D7" s="3">
        <v>28</v>
      </c>
      <c r="E7" s="3" t="s">
        <v>38</v>
      </c>
      <c r="F7" s="3" t="s">
        <v>49</v>
      </c>
      <c r="G7" s="3" t="s">
        <v>72</v>
      </c>
      <c r="H7" s="3" t="s">
        <v>51</v>
      </c>
      <c r="I7" s="3" t="s">
        <v>73</v>
      </c>
      <c r="J7" s="3" t="s">
        <v>74</v>
      </c>
      <c r="K7" s="3" t="s">
        <v>29</v>
      </c>
      <c r="L7" s="3" t="s">
        <v>44</v>
      </c>
      <c r="M7" s="3">
        <v>96249</v>
      </c>
      <c r="N7" s="3" t="s">
        <v>31</v>
      </c>
      <c r="O7" s="3">
        <v>4826</v>
      </c>
      <c r="P7" s="3" t="s">
        <v>65</v>
      </c>
      <c r="Q7" s="3">
        <v>7</v>
      </c>
      <c r="R7" s="3">
        <v>3</v>
      </c>
      <c r="S7" s="3" t="s">
        <v>33</v>
      </c>
      <c r="T7" s="3" t="s">
        <v>75</v>
      </c>
      <c r="U7" s="3" t="s">
        <v>35</v>
      </c>
    </row>
    <row r="8" spans="1:21">
      <c r="A8" s="3">
        <v>3540</v>
      </c>
      <c r="B8" s="3" t="s">
        <v>76</v>
      </c>
      <c r="C8" s="3" t="s">
        <v>22</v>
      </c>
      <c r="D8" s="3">
        <v>20</v>
      </c>
      <c r="E8" s="3" t="s">
        <v>23</v>
      </c>
      <c r="F8" s="3" t="s">
        <v>39</v>
      </c>
      <c r="G8" s="3" t="s">
        <v>50</v>
      </c>
      <c r="H8" s="3" t="s">
        <v>51</v>
      </c>
      <c r="I8" s="3" t="s">
        <v>77</v>
      </c>
      <c r="J8" s="3" t="s">
        <v>78</v>
      </c>
      <c r="K8" s="3" t="s">
        <v>29</v>
      </c>
      <c r="L8" s="3" t="s">
        <v>54</v>
      </c>
      <c r="M8" s="3">
        <v>61596</v>
      </c>
      <c r="N8" s="3" t="s">
        <v>31</v>
      </c>
      <c r="O8" s="3">
        <v>8818</v>
      </c>
      <c r="P8" s="3" t="s">
        <v>65</v>
      </c>
      <c r="Q8" s="3">
        <v>4</v>
      </c>
      <c r="R8" s="3">
        <v>2</v>
      </c>
      <c r="S8" s="3" t="s">
        <v>33</v>
      </c>
      <c r="T8" s="3" t="s">
        <v>56</v>
      </c>
      <c r="U8" s="3" t="s">
        <v>46</v>
      </c>
    </row>
    <row r="9" spans="1:21">
      <c r="A9" s="3">
        <v>3653</v>
      </c>
      <c r="B9" s="3" t="s">
        <v>79</v>
      </c>
      <c r="C9" s="3" t="s">
        <v>22</v>
      </c>
      <c r="D9" s="3">
        <v>58</v>
      </c>
      <c r="E9" s="3" t="s">
        <v>68</v>
      </c>
      <c r="F9" s="3" t="s">
        <v>80</v>
      </c>
      <c r="G9" s="3" t="s">
        <v>40</v>
      </c>
      <c r="H9" s="3" t="s">
        <v>81</v>
      </c>
      <c r="I9" s="3" t="s">
        <v>82</v>
      </c>
      <c r="J9" s="3" t="s">
        <v>83</v>
      </c>
      <c r="K9" s="3" t="s">
        <v>29</v>
      </c>
      <c r="L9" s="3" t="s">
        <v>54</v>
      </c>
      <c r="M9" s="3">
        <v>97869</v>
      </c>
      <c r="N9" s="3" t="s">
        <v>64</v>
      </c>
      <c r="O9" s="3">
        <v>1966</v>
      </c>
      <c r="P9" s="3" t="s">
        <v>32</v>
      </c>
      <c r="Q9" s="3">
        <v>10</v>
      </c>
      <c r="R9" s="3">
        <v>1</v>
      </c>
      <c r="S9" s="3" t="s">
        <v>33</v>
      </c>
      <c r="T9" s="3" t="s">
        <v>34</v>
      </c>
      <c r="U9" s="3" t="s">
        <v>35</v>
      </c>
    </row>
    <row r="10" spans="1:21">
      <c r="A10" s="3">
        <v>5587</v>
      </c>
      <c r="B10" s="3" t="s">
        <v>84</v>
      </c>
      <c r="C10" s="3" t="s">
        <v>22</v>
      </c>
      <c r="D10" s="3">
        <v>44</v>
      </c>
      <c r="E10" s="3" t="s">
        <v>59</v>
      </c>
      <c r="F10" s="3" t="s">
        <v>80</v>
      </c>
      <c r="G10" s="3" t="s">
        <v>50</v>
      </c>
      <c r="H10" s="3" t="s">
        <v>51</v>
      </c>
      <c r="I10" s="3" t="s">
        <v>85</v>
      </c>
      <c r="J10" s="3" t="s">
        <v>86</v>
      </c>
      <c r="K10" s="3" t="s">
        <v>29</v>
      </c>
      <c r="L10" s="3" t="s">
        <v>30</v>
      </c>
      <c r="M10" s="3">
        <v>81235</v>
      </c>
      <c r="N10" s="3" t="s">
        <v>64</v>
      </c>
      <c r="O10" s="3">
        <v>6553</v>
      </c>
      <c r="P10" s="3" t="s">
        <v>46</v>
      </c>
      <c r="Q10" s="3">
        <v>16</v>
      </c>
      <c r="R10" s="3">
        <v>2</v>
      </c>
      <c r="S10" s="3" t="s">
        <v>46</v>
      </c>
      <c r="T10" s="3" t="s">
        <v>56</v>
      </c>
      <c r="U10" s="3" t="s">
        <v>35</v>
      </c>
    </row>
    <row r="11" spans="1:21">
      <c r="A11" s="3">
        <v>9554</v>
      </c>
      <c r="B11" s="3" t="s">
        <v>87</v>
      </c>
      <c r="C11" s="3" t="s">
        <v>22</v>
      </c>
      <c r="D11" s="3">
        <v>29</v>
      </c>
      <c r="E11" s="3" t="s">
        <v>38</v>
      </c>
      <c r="F11" s="3" t="s">
        <v>39</v>
      </c>
      <c r="G11" s="3" t="s">
        <v>50</v>
      </c>
      <c r="H11" s="3" t="s">
        <v>60</v>
      </c>
      <c r="I11" s="3" t="s">
        <v>88</v>
      </c>
      <c r="J11" s="3" t="s">
        <v>89</v>
      </c>
      <c r="K11" s="3" t="s">
        <v>29</v>
      </c>
      <c r="L11" s="3" t="s">
        <v>44</v>
      </c>
      <c r="M11" s="3">
        <v>87852</v>
      </c>
      <c r="N11" s="3" t="s">
        <v>64</v>
      </c>
      <c r="O11" s="3">
        <v>4980</v>
      </c>
      <c r="P11" s="3" t="s">
        <v>65</v>
      </c>
      <c r="Q11" s="3">
        <v>19</v>
      </c>
      <c r="R11" s="3">
        <v>3</v>
      </c>
      <c r="S11" s="3" t="s">
        <v>46</v>
      </c>
      <c r="T11" s="3" t="s">
        <v>66</v>
      </c>
      <c r="U11" s="3" t="s">
        <v>35</v>
      </c>
    </row>
    <row r="12" spans="1:21">
      <c r="A12" s="3">
        <v>6213</v>
      </c>
      <c r="B12" s="3" t="s">
        <v>90</v>
      </c>
      <c r="C12" s="3" t="s">
        <v>37</v>
      </c>
      <c r="D12" s="3">
        <v>23</v>
      </c>
      <c r="E12" s="3" t="s">
        <v>23</v>
      </c>
      <c r="F12" s="3" t="s">
        <v>80</v>
      </c>
      <c r="G12" s="3" t="s">
        <v>25</v>
      </c>
      <c r="H12" s="3" t="s">
        <v>51</v>
      </c>
      <c r="I12" s="3" t="s">
        <v>91</v>
      </c>
      <c r="J12" s="3" t="s">
        <v>92</v>
      </c>
      <c r="K12" s="3" t="s">
        <v>63</v>
      </c>
      <c r="L12" s="3" t="s">
        <v>44</v>
      </c>
      <c r="M12" s="3">
        <v>59359</v>
      </c>
      <c r="N12" s="3" t="s">
        <v>64</v>
      </c>
      <c r="O12" s="3">
        <v>9449</v>
      </c>
      <c r="P12" s="3" t="s">
        <v>65</v>
      </c>
      <c r="Q12" s="3">
        <v>20</v>
      </c>
      <c r="R12" s="3">
        <v>3</v>
      </c>
      <c r="S12" s="3" t="s">
        <v>46</v>
      </c>
      <c r="T12" s="3" t="s">
        <v>56</v>
      </c>
      <c r="U12" s="3" t="s">
        <v>46</v>
      </c>
    </row>
    <row r="13" spans="1:21">
      <c r="A13" s="3">
        <v>9105</v>
      </c>
      <c r="B13" s="3" t="s">
        <v>93</v>
      </c>
      <c r="C13" s="3" t="s">
        <v>37</v>
      </c>
      <c r="D13" s="3">
        <v>30</v>
      </c>
      <c r="E13" s="3" t="s">
        <v>38</v>
      </c>
      <c r="F13" s="3" t="s">
        <v>24</v>
      </c>
      <c r="G13" s="3" t="s">
        <v>40</v>
      </c>
      <c r="H13" s="3" t="s">
        <v>26</v>
      </c>
      <c r="I13" s="3" t="s">
        <v>94</v>
      </c>
      <c r="J13" s="3" t="s">
        <v>95</v>
      </c>
      <c r="K13" s="3" t="s">
        <v>63</v>
      </c>
      <c r="L13" s="3" t="s">
        <v>54</v>
      </c>
      <c r="M13" s="3">
        <v>81225</v>
      </c>
      <c r="N13" s="3" t="s">
        <v>55</v>
      </c>
      <c r="O13" s="3">
        <v>6202</v>
      </c>
      <c r="P13" s="3" t="s">
        <v>65</v>
      </c>
      <c r="Q13" s="3">
        <v>2</v>
      </c>
      <c r="R13" s="3">
        <v>2</v>
      </c>
      <c r="S13" s="3" t="s">
        <v>47</v>
      </c>
      <c r="T13" s="3" t="s">
        <v>96</v>
      </c>
      <c r="U13" s="3" t="s">
        <v>35</v>
      </c>
    </row>
    <row r="14" spans="1:21">
      <c r="A14" s="3">
        <v>9508</v>
      </c>
      <c r="B14" s="3" t="s">
        <v>97</v>
      </c>
      <c r="C14" s="3" t="s">
        <v>22</v>
      </c>
      <c r="D14" s="3">
        <v>49</v>
      </c>
      <c r="E14" s="3" t="s">
        <v>98</v>
      </c>
      <c r="F14" s="3" t="s">
        <v>39</v>
      </c>
      <c r="G14" s="3" t="s">
        <v>25</v>
      </c>
      <c r="H14" s="3" t="s">
        <v>26</v>
      </c>
      <c r="I14" s="3" t="s">
        <v>99</v>
      </c>
      <c r="J14" s="3" t="s">
        <v>100</v>
      </c>
      <c r="K14" s="3" t="s">
        <v>63</v>
      </c>
      <c r="L14" s="3" t="s">
        <v>30</v>
      </c>
      <c r="M14" s="3">
        <v>32788</v>
      </c>
      <c r="N14" s="3" t="s">
        <v>55</v>
      </c>
      <c r="O14" s="3">
        <v>4396</v>
      </c>
      <c r="P14" s="3" t="s">
        <v>32</v>
      </c>
      <c r="Q14" s="3">
        <v>13</v>
      </c>
      <c r="R14" s="3">
        <v>5</v>
      </c>
      <c r="S14" s="3" t="s">
        <v>46</v>
      </c>
      <c r="T14" s="3" t="s">
        <v>75</v>
      </c>
      <c r="U14" s="3" t="s">
        <v>57</v>
      </c>
    </row>
    <row r="15" spans="1:21">
      <c r="A15" s="3">
        <v>2436</v>
      </c>
      <c r="B15" s="3" t="s">
        <v>101</v>
      </c>
      <c r="C15" s="3" t="s">
        <v>37</v>
      </c>
      <c r="D15" s="3">
        <v>60</v>
      </c>
      <c r="E15" s="3" t="s">
        <v>68</v>
      </c>
      <c r="F15" s="3" t="s">
        <v>102</v>
      </c>
      <c r="G15" s="3" t="s">
        <v>25</v>
      </c>
      <c r="H15" s="3" t="s">
        <v>60</v>
      </c>
      <c r="I15" s="3" t="s">
        <v>103</v>
      </c>
      <c r="J15" s="3" t="s">
        <v>104</v>
      </c>
      <c r="K15" s="3" t="s">
        <v>63</v>
      </c>
      <c r="L15" s="3" t="s">
        <v>54</v>
      </c>
      <c r="M15" s="3">
        <v>70452</v>
      </c>
      <c r="N15" s="3" t="s">
        <v>55</v>
      </c>
      <c r="O15" s="3">
        <v>9911</v>
      </c>
      <c r="P15" s="3" t="s">
        <v>46</v>
      </c>
      <c r="Q15" s="3">
        <v>2</v>
      </c>
      <c r="R15" s="3">
        <v>1</v>
      </c>
      <c r="S15" s="3" t="s">
        <v>46</v>
      </c>
      <c r="T15" s="3" t="s">
        <v>75</v>
      </c>
      <c r="U15" s="3" t="s">
        <v>35</v>
      </c>
    </row>
    <row r="16" spans="1:21">
      <c r="A16" s="3">
        <v>4441</v>
      </c>
      <c r="B16" s="3" t="s">
        <v>105</v>
      </c>
      <c r="C16" s="3" t="s">
        <v>37</v>
      </c>
      <c r="D16" s="3">
        <v>46</v>
      </c>
      <c r="E16" s="3" t="s">
        <v>98</v>
      </c>
      <c r="F16" s="3" t="s">
        <v>39</v>
      </c>
      <c r="G16" s="3" t="s">
        <v>72</v>
      </c>
      <c r="H16" s="3" t="s">
        <v>26</v>
      </c>
      <c r="I16" s="3" t="s">
        <v>106</v>
      </c>
      <c r="J16" s="3" t="s">
        <v>107</v>
      </c>
      <c r="K16" s="3" t="s">
        <v>29</v>
      </c>
      <c r="L16" s="3" t="s">
        <v>44</v>
      </c>
      <c r="M16" s="3">
        <v>33045</v>
      </c>
      <c r="N16" s="3" t="s">
        <v>45</v>
      </c>
      <c r="O16" s="3">
        <v>1456</v>
      </c>
      <c r="P16" s="3" t="s">
        <v>46</v>
      </c>
      <c r="Q16" s="3">
        <v>16</v>
      </c>
      <c r="R16" s="3">
        <v>3</v>
      </c>
      <c r="S16" s="3" t="s">
        <v>47</v>
      </c>
      <c r="T16" s="3" t="s">
        <v>75</v>
      </c>
      <c r="U16" s="3" t="s">
        <v>46</v>
      </c>
    </row>
    <row r="17" spans="1:21">
      <c r="A17" s="3">
        <v>5827</v>
      </c>
      <c r="B17" s="3" t="s">
        <v>108</v>
      </c>
      <c r="C17" s="3" t="s">
        <v>37</v>
      </c>
      <c r="D17" s="3">
        <v>57</v>
      </c>
      <c r="E17" s="3" t="s">
        <v>68</v>
      </c>
      <c r="F17" s="3" t="s">
        <v>49</v>
      </c>
      <c r="G17" s="3" t="s">
        <v>72</v>
      </c>
      <c r="H17" s="3" t="s">
        <v>41</v>
      </c>
      <c r="I17" s="3" t="s">
        <v>109</v>
      </c>
      <c r="J17" s="3" t="s">
        <v>110</v>
      </c>
      <c r="K17" s="3" t="s">
        <v>111</v>
      </c>
      <c r="L17" s="3" t="s">
        <v>54</v>
      </c>
      <c r="M17" s="3">
        <v>96429</v>
      </c>
      <c r="N17" s="3" t="s">
        <v>31</v>
      </c>
      <c r="O17" s="3">
        <v>4740</v>
      </c>
      <c r="P17" s="3" t="s">
        <v>46</v>
      </c>
      <c r="Q17" s="3">
        <v>8</v>
      </c>
      <c r="R17" s="3">
        <v>1</v>
      </c>
      <c r="S17" s="3" t="s">
        <v>47</v>
      </c>
      <c r="T17" s="3" t="s">
        <v>66</v>
      </c>
      <c r="U17" s="3" t="s">
        <v>46</v>
      </c>
    </row>
    <row r="18" spans="1:21">
      <c r="A18" s="3">
        <v>5184</v>
      </c>
      <c r="B18" s="3" t="s">
        <v>112</v>
      </c>
      <c r="C18" s="3" t="s">
        <v>22</v>
      </c>
      <c r="D18" s="3">
        <v>24</v>
      </c>
      <c r="E18" s="3" t="s">
        <v>23</v>
      </c>
      <c r="F18" s="3" t="s">
        <v>39</v>
      </c>
      <c r="G18" s="3" t="s">
        <v>50</v>
      </c>
      <c r="H18" s="3" t="s">
        <v>51</v>
      </c>
      <c r="I18" s="3" t="s">
        <v>113</v>
      </c>
      <c r="J18" s="3" t="s">
        <v>114</v>
      </c>
      <c r="K18" s="3" t="s">
        <v>111</v>
      </c>
      <c r="L18" s="3" t="s">
        <v>54</v>
      </c>
      <c r="M18" s="3">
        <v>33183</v>
      </c>
      <c r="N18" s="3" t="s">
        <v>64</v>
      </c>
      <c r="O18" s="3">
        <v>8114</v>
      </c>
      <c r="P18" s="3" t="s">
        <v>46</v>
      </c>
      <c r="Q18" s="3">
        <v>4</v>
      </c>
      <c r="R18" s="3">
        <v>2</v>
      </c>
      <c r="S18" s="3" t="s">
        <v>47</v>
      </c>
      <c r="T18" s="3" t="s">
        <v>96</v>
      </c>
      <c r="U18" s="3" t="s">
        <v>57</v>
      </c>
    </row>
    <row r="19" spans="1:21">
      <c r="A19" s="3">
        <v>5874</v>
      </c>
      <c r="B19" s="3" t="s">
        <v>58</v>
      </c>
      <c r="C19" s="3" t="s">
        <v>22</v>
      </c>
      <c r="D19" s="3">
        <v>35</v>
      </c>
      <c r="E19" s="3" t="s">
        <v>38</v>
      </c>
      <c r="F19" s="3" t="s">
        <v>102</v>
      </c>
      <c r="G19" s="3" t="s">
        <v>72</v>
      </c>
      <c r="H19" s="3" t="s">
        <v>26</v>
      </c>
      <c r="I19" s="3" t="s">
        <v>115</v>
      </c>
      <c r="J19" s="3" t="s">
        <v>116</v>
      </c>
      <c r="K19" s="3" t="s">
        <v>111</v>
      </c>
      <c r="L19" s="3" t="s">
        <v>30</v>
      </c>
      <c r="M19" s="3">
        <v>75065</v>
      </c>
      <c r="N19" s="3" t="s">
        <v>31</v>
      </c>
      <c r="O19" s="3">
        <v>7123</v>
      </c>
      <c r="P19" s="3" t="s">
        <v>46</v>
      </c>
      <c r="Q19" s="3">
        <v>20</v>
      </c>
      <c r="R19" s="3">
        <v>2</v>
      </c>
      <c r="S19" s="3" t="s">
        <v>46</v>
      </c>
      <c r="T19" s="3" t="s">
        <v>34</v>
      </c>
      <c r="U19" s="3" t="s">
        <v>57</v>
      </c>
    </row>
    <row r="20" spans="1:21">
      <c r="A20" s="3">
        <v>9834</v>
      </c>
      <c r="B20" s="3" t="s">
        <v>117</v>
      </c>
      <c r="C20" s="3" t="s">
        <v>37</v>
      </c>
      <c r="D20" s="3">
        <v>41</v>
      </c>
      <c r="E20" s="3" t="s">
        <v>59</v>
      </c>
      <c r="F20" s="3" t="s">
        <v>39</v>
      </c>
      <c r="G20" s="3" t="s">
        <v>40</v>
      </c>
      <c r="H20" s="3" t="s">
        <v>81</v>
      </c>
      <c r="I20" s="3" t="s">
        <v>118</v>
      </c>
      <c r="J20" s="3" t="s">
        <v>119</v>
      </c>
      <c r="K20" s="3" t="s">
        <v>29</v>
      </c>
      <c r="L20" s="3" t="s">
        <v>54</v>
      </c>
      <c r="M20" s="3">
        <v>32877</v>
      </c>
      <c r="N20" s="3" t="s">
        <v>31</v>
      </c>
      <c r="O20" s="3">
        <v>6432</v>
      </c>
      <c r="P20" s="3" t="s">
        <v>32</v>
      </c>
      <c r="Q20" s="3">
        <v>11</v>
      </c>
      <c r="R20" s="3">
        <v>1</v>
      </c>
      <c r="S20" s="3" t="s">
        <v>46</v>
      </c>
      <c r="T20" s="3" t="s">
        <v>34</v>
      </c>
      <c r="U20" s="3" t="s">
        <v>46</v>
      </c>
    </row>
    <row r="21" spans="1:21">
      <c r="A21" s="3">
        <v>5096</v>
      </c>
      <c r="B21" s="3" t="s">
        <v>120</v>
      </c>
      <c r="C21" s="3" t="s">
        <v>37</v>
      </c>
      <c r="D21" s="3">
        <v>36</v>
      </c>
      <c r="E21" s="3" t="s">
        <v>59</v>
      </c>
      <c r="F21" s="3" t="s">
        <v>39</v>
      </c>
      <c r="G21" s="3" t="s">
        <v>121</v>
      </c>
      <c r="H21" s="3" t="s">
        <v>60</v>
      </c>
      <c r="I21" s="3" t="s">
        <v>122</v>
      </c>
      <c r="J21" s="3" t="s">
        <v>123</v>
      </c>
      <c r="K21" s="3" t="s">
        <v>29</v>
      </c>
      <c r="L21" s="3" t="s">
        <v>44</v>
      </c>
      <c r="M21" s="3">
        <v>46811</v>
      </c>
      <c r="N21" s="3" t="s">
        <v>55</v>
      </c>
      <c r="O21" s="3">
        <v>1567</v>
      </c>
      <c r="P21" s="3" t="s">
        <v>46</v>
      </c>
      <c r="Q21" s="3">
        <v>7</v>
      </c>
      <c r="R21" s="3">
        <v>3</v>
      </c>
      <c r="S21" s="3" t="s">
        <v>47</v>
      </c>
      <c r="T21" s="3" t="s">
        <v>34</v>
      </c>
      <c r="U21" s="3" t="s">
        <v>57</v>
      </c>
    </row>
    <row r="22" spans="1:21">
      <c r="A22" s="3">
        <v>2263</v>
      </c>
      <c r="B22" s="3" t="s">
        <v>124</v>
      </c>
      <c r="C22" s="3" t="s">
        <v>37</v>
      </c>
      <c r="D22" s="3">
        <v>31</v>
      </c>
      <c r="E22" s="3" t="s">
        <v>38</v>
      </c>
      <c r="F22" s="3" t="s">
        <v>80</v>
      </c>
      <c r="G22" s="3" t="s">
        <v>50</v>
      </c>
      <c r="H22" s="3" t="s">
        <v>41</v>
      </c>
      <c r="I22" s="3" t="s">
        <v>125</v>
      </c>
      <c r="J22" s="3" t="s">
        <v>126</v>
      </c>
      <c r="K22" s="3" t="s">
        <v>63</v>
      </c>
      <c r="L22" s="3" t="s">
        <v>44</v>
      </c>
      <c r="M22" s="3">
        <v>87538</v>
      </c>
      <c r="N22" s="3" t="s">
        <v>31</v>
      </c>
      <c r="O22" s="3">
        <v>3588</v>
      </c>
      <c r="P22" s="3" t="s">
        <v>65</v>
      </c>
      <c r="Q22" s="3">
        <v>11</v>
      </c>
      <c r="R22" s="3">
        <v>5</v>
      </c>
      <c r="S22" s="3" t="s">
        <v>47</v>
      </c>
      <c r="T22" s="3" t="s">
        <v>66</v>
      </c>
      <c r="U22" s="3" t="s">
        <v>46</v>
      </c>
    </row>
    <row r="23" spans="1:21">
      <c r="A23" s="3">
        <v>6505</v>
      </c>
      <c r="B23" s="3" t="s">
        <v>127</v>
      </c>
      <c r="C23" s="3" t="s">
        <v>22</v>
      </c>
      <c r="D23" s="3">
        <v>28</v>
      </c>
      <c r="E23" s="3" t="s">
        <v>38</v>
      </c>
      <c r="F23" s="3" t="s">
        <v>24</v>
      </c>
      <c r="G23" s="3" t="s">
        <v>40</v>
      </c>
      <c r="H23" s="3" t="s">
        <v>81</v>
      </c>
      <c r="I23" s="3" t="s">
        <v>128</v>
      </c>
      <c r="J23" s="3" t="s">
        <v>129</v>
      </c>
      <c r="K23" s="3" t="s">
        <v>29</v>
      </c>
      <c r="L23" s="3" t="s">
        <v>44</v>
      </c>
      <c r="M23" s="3">
        <v>73002</v>
      </c>
      <c r="N23" s="3" t="s">
        <v>31</v>
      </c>
      <c r="O23" s="3">
        <v>6296</v>
      </c>
      <c r="P23" s="3" t="s">
        <v>32</v>
      </c>
      <c r="Q23" s="3">
        <v>2</v>
      </c>
      <c r="R23" s="3">
        <v>5</v>
      </c>
      <c r="S23" s="3" t="s">
        <v>47</v>
      </c>
      <c r="T23" s="3" t="s">
        <v>56</v>
      </c>
      <c r="U23" s="3" t="s">
        <v>35</v>
      </c>
    </row>
    <row r="24" spans="1:21">
      <c r="A24" s="3">
        <v>8626</v>
      </c>
      <c r="B24" s="3" t="s">
        <v>130</v>
      </c>
      <c r="C24" s="3" t="s">
        <v>37</v>
      </c>
      <c r="D24" s="3">
        <v>37</v>
      </c>
      <c r="E24" s="3" t="s">
        <v>59</v>
      </c>
      <c r="F24" s="3" t="s">
        <v>80</v>
      </c>
      <c r="G24" s="3" t="s">
        <v>40</v>
      </c>
      <c r="H24" s="3" t="s">
        <v>60</v>
      </c>
      <c r="I24" s="3" t="s">
        <v>131</v>
      </c>
      <c r="J24" s="3" t="s">
        <v>132</v>
      </c>
      <c r="K24" s="3" t="s">
        <v>111</v>
      </c>
      <c r="L24" s="3" t="s">
        <v>54</v>
      </c>
      <c r="M24" s="3">
        <v>41653</v>
      </c>
      <c r="N24" s="3" t="s">
        <v>55</v>
      </c>
      <c r="O24" s="3">
        <v>9236</v>
      </c>
      <c r="P24" s="3" t="s">
        <v>46</v>
      </c>
      <c r="Q24" s="3">
        <v>13</v>
      </c>
      <c r="R24" s="3">
        <v>1</v>
      </c>
      <c r="S24" s="3" t="s">
        <v>47</v>
      </c>
      <c r="T24" s="3" t="s">
        <v>34</v>
      </c>
      <c r="U24" s="3" t="s">
        <v>46</v>
      </c>
    </row>
    <row r="25" spans="1:21">
      <c r="A25" s="3">
        <v>5979</v>
      </c>
      <c r="B25" s="3" t="s">
        <v>133</v>
      </c>
      <c r="C25" s="3" t="s">
        <v>22</v>
      </c>
      <c r="D25" s="3">
        <v>31</v>
      </c>
      <c r="E25" s="3" t="s">
        <v>38</v>
      </c>
      <c r="F25" s="3" t="s">
        <v>24</v>
      </c>
      <c r="G25" s="3" t="s">
        <v>25</v>
      </c>
      <c r="H25" s="3" t="s">
        <v>51</v>
      </c>
      <c r="I25" s="3" t="s">
        <v>134</v>
      </c>
      <c r="J25" s="3" t="s">
        <v>135</v>
      </c>
      <c r="K25" s="3" t="s">
        <v>63</v>
      </c>
      <c r="L25" s="3" t="s">
        <v>44</v>
      </c>
      <c r="M25" s="3">
        <v>67582</v>
      </c>
      <c r="N25" s="3" t="s">
        <v>64</v>
      </c>
      <c r="O25" s="3">
        <v>1375</v>
      </c>
      <c r="P25" s="3" t="s">
        <v>32</v>
      </c>
      <c r="Q25" s="3">
        <v>20</v>
      </c>
      <c r="R25" s="3">
        <v>3</v>
      </c>
      <c r="S25" s="3" t="s">
        <v>47</v>
      </c>
      <c r="T25" s="3" t="s">
        <v>56</v>
      </c>
      <c r="U25" s="3" t="s">
        <v>46</v>
      </c>
    </row>
    <row r="26" spans="1:21">
      <c r="A26" s="3">
        <v>3104</v>
      </c>
      <c r="B26" s="3" t="s">
        <v>136</v>
      </c>
      <c r="C26" s="3" t="s">
        <v>22</v>
      </c>
      <c r="D26" s="3">
        <v>23</v>
      </c>
      <c r="E26" s="3" t="s">
        <v>23</v>
      </c>
      <c r="F26" s="3" t="s">
        <v>80</v>
      </c>
      <c r="G26" s="3" t="s">
        <v>40</v>
      </c>
      <c r="H26" s="3" t="s">
        <v>41</v>
      </c>
      <c r="I26" s="3" t="s">
        <v>137</v>
      </c>
      <c r="J26" s="3" t="s">
        <v>138</v>
      </c>
      <c r="K26" s="3" t="s">
        <v>111</v>
      </c>
      <c r="L26" s="3" t="s">
        <v>44</v>
      </c>
      <c r="M26" s="3">
        <v>37351</v>
      </c>
      <c r="N26" s="3" t="s">
        <v>55</v>
      </c>
      <c r="O26" s="3">
        <v>7858</v>
      </c>
      <c r="P26" s="3" t="s">
        <v>65</v>
      </c>
      <c r="Q26" s="3">
        <v>18</v>
      </c>
      <c r="R26" s="3">
        <v>2</v>
      </c>
      <c r="S26" s="3" t="s">
        <v>33</v>
      </c>
      <c r="T26" s="3" t="s">
        <v>56</v>
      </c>
      <c r="U26" s="3" t="s">
        <v>57</v>
      </c>
    </row>
    <row r="27" spans="1:21">
      <c r="A27" s="3">
        <v>8967</v>
      </c>
      <c r="B27" s="3" t="s">
        <v>139</v>
      </c>
      <c r="C27" s="3" t="s">
        <v>22</v>
      </c>
      <c r="D27" s="3">
        <v>48</v>
      </c>
      <c r="E27" s="3" t="s">
        <v>98</v>
      </c>
      <c r="F27" s="3" t="s">
        <v>102</v>
      </c>
      <c r="G27" s="3" t="s">
        <v>50</v>
      </c>
      <c r="H27" s="3" t="s">
        <v>26</v>
      </c>
      <c r="I27" s="3" t="s">
        <v>140</v>
      </c>
      <c r="J27" s="3" t="s">
        <v>141</v>
      </c>
      <c r="K27" s="3" t="s">
        <v>29</v>
      </c>
      <c r="L27" s="3" t="s">
        <v>44</v>
      </c>
      <c r="M27" s="3">
        <v>36721</v>
      </c>
      <c r="N27" s="3" t="s">
        <v>45</v>
      </c>
      <c r="O27" s="3">
        <v>8820</v>
      </c>
      <c r="P27" s="3" t="s">
        <v>65</v>
      </c>
      <c r="Q27" s="3">
        <v>0</v>
      </c>
      <c r="R27" s="3">
        <v>2</v>
      </c>
      <c r="S27" s="3" t="s">
        <v>47</v>
      </c>
      <c r="T27" s="3" t="s">
        <v>56</v>
      </c>
      <c r="U27" s="3" t="s">
        <v>35</v>
      </c>
    </row>
    <row r="28" spans="1:21">
      <c r="A28" s="3">
        <v>5087</v>
      </c>
      <c r="B28" s="3" t="s">
        <v>142</v>
      </c>
      <c r="C28" s="3" t="s">
        <v>37</v>
      </c>
      <c r="D28" s="3">
        <v>28</v>
      </c>
      <c r="E28" s="3" t="s">
        <v>38</v>
      </c>
      <c r="F28" s="3" t="s">
        <v>49</v>
      </c>
      <c r="G28" s="3" t="s">
        <v>121</v>
      </c>
      <c r="H28" s="3" t="s">
        <v>26</v>
      </c>
      <c r="I28" s="3" t="s">
        <v>143</v>
      </c>
      <c r="J28" s="3" t="s">
        <v>144</v>
      </c>
      <c r="K28" s="3" t="s">
        <v>63</v>
      </c>
      <c r="L28" s="3" t="s">
        <v>54</v>
      </c>
      <c r="M28" s="3">
        <v>46326</v>
      </c>
      <c r="N28" s="3" t="s">
        <v>45</v>
      </c>
      <c r="O28" s="3">
        <v>9189</v>
      </c>
      <c r="P28" s="3" t="s">
        <v>65</v>
      </c>
      <c r="Q28" s="3">
        <v>8</v>
      </c>
      <c r="R28" s="3">
        <v>4</v>
      </c>
      <c r="S28" s="3" t="s">
        <v>33</v>
      </c>
      <c r="T28" s="3" t="s">
        <v>75</v>
      </c>
      <c r="U28" s="3" t="s">
        <v>57</v>
      </c>
    </row>
    <row r="29" spans="1:21">
      <c r="A29" s="3">
        <v>3358</v>
      </c>
      <c r="B29" s="3" t="s">
        <v>145</v>
      </c>
      <c r="C29" s="3" t="s">
        <v>37</v>
      </c>
      <c r="D29" s="3">
        <v>30</v>
      </c>
      <c r="E29" s="3" t="s">
        <v>38</v>
      </c>
      <c r="F29" s="3" t="s">
        <v>39</v>
      </c>
      <c r="G29" s="3" t="s">
        <v>72</v>
      </c>
      <c r="H29" s="3" t="s">
        <v>41</v>
      </c>
      <c r="I29" s="3" t="s">
        <v>146</v>
      </c>
      <c r="J29" s="3" t="s">
        <v>147</v>
      </c>
      <c r="K29" s="3" t="s">
        <v>29</v>
      </c>
      <c r="L29" s="3" t="s">
        <v>30</v>
      </c>
      <c r="M29" s="3">
        <v>59007</v>
      </c>
      <c r="N29" s="3" t="s">
        <v>31</v>
      </c>
      <c r="O29" s="3">
        <v>3380</v>
      </c>
      <c r="P29" s="3" t="s">
        <v>32</v>
      </c>
      <c r="Q29" s="3">
        <v>17</v>
      </c>
      <c r="R29" s="3">
        <v>3</v>
      </c>
      <c r="S29" s="3" t="s">
        <v>46</v>
      </c>
      <c r="T29" s="3" t="s">
        <v>96</v>
      </c>
      <c r="U29" s="3" t="s">
        <v>35</v>
      </c>
    </row>
    <row r="30" spans="1:21">
      <c r="A30" s="3">
        <v>8256</v>
      </c>
      <c r="B30" s="3" t="s">
        <v>148</v>
      </c>
      <c r="C30" s="3" t="s">
        <v>37</v>
      </c>
      <c r="D30" s="3">
        <v>46</v>
      </c>
      <c r="E30" s="3" t="s">
        <v>98</v>
      </c>
      <c r="F30" s="3" t="s">
        <v>80</v>
      </c>
      <c r="G30" s="3" t="s">
        <v>25</v>
      </c>
      <c r="H30" s="3" t="s">
        <v>60</v>
      </c>
      <c r="I30" s="3" t="s">
        <v>149</v>
      </c>
      <c r="J30" s="3" t="s">
        <v>150</v>
      </c>
      <c r="K30" s="3" t="s">
        <v>29</v>
      </c>
      <c r="L30" s="3" t="s">
        <v>44</v>
      </c>
      <c r="M30" s="3">
        <v>52020</v>
      </c>
      <c r="N30" s="3" t="s">
        <v>45</v>
      </c>
      <c r="O30" s="3">
        <v>9585</v>
      </c>
      <c r="P30" s="3" t="s">
        <v>65</v>
      </c>
      <c r="Q30" s="3">
        <v>0</v>
      </c>
      <c r="R30" s="3">
        <v>4</v>
      </c>
      <c r="S30" s="3" t="s">
        <v>47</v>
      </c>
      <c r="T30" s="3" t="s">
        <v>96</v>
      </c>
      <c r="U30" s="3" t="s">
        <v>46</v>
      </c>
    </row>
    <row r="31" spans="1:21">
      <c r="A31" s="3">
        <v>5763</v>
      </c>
      <c r="B31" s="3" t="s">
        <v>151</v>
      </c>
      <c r="C31" s="3" t="s">
        <v>37</v>
      </c>
      <c r="D31" s="3">
        <v>44</v>
      </c>
      <c r="E31" s="3" t="s">
        <v>59</v>
      </c>
      <c r="F31" s="3" t="s">
        <v>39</v>
      </c>
      <c r="G31" s="3" t="s">
        <v>50</v>
      </c>
      <c r="H31" s="3" t="s">
        <v>41</v>
      </c>
      <c r="I31" s="3" t="s">
        <v>152</v>
      </c>
      <c r="J31" s="3" t="s">
        <v>153</v>
      </c>
      <c r="K31" s="3" t="s">
        <v>111</v>
      </c>
      <c r="L31" s="3" t="s">
        <v>44</v>
      </c>
      <c r="M31" s="3">
        <v>98961</v>
      </c>
      <c r="N31" s="3" t="s">
        <v>55</v>
      </c>
      <c r="O31" s="3">
        <v>2688</v>
      </c>
      <c r="P31" s="3" t="s">
        <v>32</v>
      </c>
      <c r="Q31" s="3">
        <v>2</v>
      </c>
      <c r="R31" s="3">
        <v>5</v>
      </c>
      <c r="S31" s="3" t="s">
        <v>47</v>
      </c>
      <c r="T31" s="3" t="s">
        <v>96</v>
      </c>
      <c r="U31" s="3" t="s">
        <v>35</v>
      </c>
    </row>
    <row r="32" spans="1:21">
      <c r="A32" s="3">
        <v>6838</v>
      </c>
      <c r="B32" s="3" t="s">
        <v>154</v>
      </c>
      <c r="C32" s="3" t="s">
        <v>37</v>
      </c>
      <c r="D32" s="3">
        <v>45</v>
      </c>
      <c r="E32" s="3" t="s">
        <v>59</v>
      </c>
      <c r="F32" s="3" t="s">
        <v>49</v>
      </c>
      <c r="G32" s="3" t="s">
        <v>72</v>
      </c>
      <c r="H32" s="3" t="s">
        <v>51</v>
      </c>
      <c r="I32" s="3" t="s">
        <v>155</v>
      </c>
      <c r="J32" s="3" t="s">
        <v>156</v>
      </c>
      <c r="K32" s="3" t="s">
        <v>111</v>
      </c>
      <c r="L32" s="3" t="s">
        <v>44</v>
      </c>
      <c r="M32" s="3">
        <v>81943</v>
      </c>
      <c r="N32" s="3" t="s">
        <v>31</v>
      </c>
      <c r="O32" s="3">
        <v>2255</v>
      </c>
      <c r="P32" s="3" t="s">
        <v>32</v>
      </c>
      <c r="Q32" s="3">
        <v>18</v>
      </c>
      <c r="R32" s="3">
        <v>2</v>
      </c>
      <c r="S32" s="3" t="s">
        <v>46</v>
      </c>
      <c r="T32" s="3" t="s">
        <v>66</v>
      </c>
      <c r="U32" s="3" t="s">
        <v>35</v>
      </c>
    </row>
    <row r="33" spans="1:21">
      <c r="A33" s="3">
        <v>9544</v>
      </c>
      <c r="B33" s="3" t="s">
        <v>157</v>
      </c>
      <c r="C33" s="3" t="s">
        <v>37</v>
      </c>
      <c r="D33" s="3">
        <v>52</v>
      </c>
      <c r="E33" s="3" t="s">
        <v>98</v>
      </c>
      <c r="F33" s="3" t="s">
        <v>102</v>
      </c>
      <c r="G33" s="3" t="s">
        <v>50</v>
      </c>
      <c r="H33" s="3" t="s">
        <v>41</v>
      </c>
      <c r="I33" s="3" t="s">
        <v>158</v>
      </c>
      <c r="J33" s="3" t="s">
        <v>159</v>
      </c>
      <c r="K33" s="3" t="s">
        <v>111</v>
      </c>
      <c r="L33" s="3" t="s">
        <v>44</v>
      </c>
      <c r="M33" s="3">
        <v>47627</v>
      </c>
      <c r="N33" s="3" t="s">
        <v>31</v>
      </c>
      <c r="O33" s="3">
        <v>1221</v>
      </c>
      <c r="P33" s="3" t="s">
        <v>46</v>
      </c>
      <c r="Q33" s="3">
        <v>4</v>
      </c>
      <c r="R33" s="3">
        <v>3</v>
      </c>
      <c r="S33" s="3" t="s">
        <v>46</v>
      </c>
      <c r="T33" s="3" t="s">
        <v>56</v>
      </c>
      <c r="U33" s="3" t="s">
        <v>46</v>
      </c>
    </row>
    <row r="34" spans="1:21">
      <c r="A34" s="3">
        <v>8012</v>
      </c>
      <c r="B34" s="3" t="s">
        <v>160</v>
      </c>
      <c r="C34" s="3" t="s">
        <v>22</v>
      </c>
      <c r="D34" s="3">
        <v>52</v>
      </c>
      <c r="E34" s="3" t="s">
        <v>98</v>
      </c>
      <c r="F34" s="3" t="s">
        <v>24</v>
      </c>
      <c r="G34" s="3" t="s">
        <v>25</v>
      </c>
      <c r="H34" s="3" t="s">
        <v>81</v>
      </c>
      <c r="I34" s="3" t="s">
        <v>161</v>
      </c>
      <c r="J34" s="3" t="s">
        <v>162</v>
      </c>
      <c r="K34" s="3" t="s">
        <v>111</v>
      </c>
      <c r="L34" s="3" t="s">
        <v>44</v>
      </c>
      <c r="M34" s="3">
        <v>56162</v>
      </c>
      <c r="N34" s="3" t="s">
        <v>55</v>
      </c>
      <c r="O34" s="3">
        <v>6560</v>
      </c>
      <c r="P34" s="3" t="s">
        <v>65</v>
      </c>
      <c r="Q34" s="3">
        <v>9</v>
      </c>
      <c r="R34" s="3">
        <v>4</v>
      </c>
      <c r="S34" s="3" t="s">
        <v>47</v>
      </c>
      <c r="T34" s="3" t="s">
        <v>75</v>
      </c>
      <c r="U34" s="3" t="s">
        <v>46</v>
      </c>
    </row>
    <row r="35" spans="1:21">
      <c r="A35" s="3">
        <v>9374</v>
      </c>
      <c r="B35" s="3" t="s">
        <v>163</v>
      </c>
      <c r="C35" s="3" t="s">
        <v>22</v>
      </c>
      <c r="D35" s="3">
        <v>42</v>
      </c>
      <c r="E35" s="3" t="s">
        <v>59</v>
      </c>
      <c r="F35" s="3" t="s">
        <v>39</v>
      </c>
      <c r="G35" s="3" t="s">
        <v>50</v>
      </c>
      <c r="H35" s="3" t="s">
        <v>51</v>
      </c>
      <c r="I35" s="3" t="s">
        <v>164</v>
      </c>
      <c r="J35" s="3" t="s">
        <v>165</v>
      </c>
      <c r="K35" s="3" t="s">
        <v>63</v>
      </c>
      <c r="L35" s="3" t="s">
        <v>54</v>
      </c>
      <c r="M35" s="3">
        <v>95734</v>
      </c>
      <c r="N35" s="3" t="s">
        <v>31</v>
      </c>
      <c r="O35" s="3">
        <v>4854</v>
      </c>
      <c r="P35" s="3" t="s">
        <v>32</v>
      </c>
      <c r="Q35" s="3">
        <v>13</v>
      </c>
      <c r="R35" s="3">
        <v>2</v>
      </c>
      <c r="S35" s="3" t="s">
        <v>33</v>
      </c>
      <c r="T35" s="3" t="s">
        <v>34</v>
      </c>
      <c r="U35" s="3" t="s">
        <v>35</v>
      </c>
    </row>
    <row r="36" spans="1:21">
      <c r="A36" s="3">
        <v>3487</v>
      </c>
      <c r="B36" s="3" t="s">
        <v>166</v>
      </c>
      <c r="C36" s="3" t="s">
        <v>37</v>
      </c>
      <c r="D36" s="3">
        <v>58</v>
      </c>
      <c r="E36" s="3" t="s">
        <v>68</v>
      </c>
      <c r="F36" s="3" t="s">
        <v>39</v>
      </c>
      <c r="G36" s="3" t="s">
        <v>40</v>
      </c>
      <c r="H36" s="3" t="s">
        <v>60</v>
      </c>
      <c r="I36" s="3" t="s">
        <v>167</v>
      </c>
      <c r="J36" s="3" t="s">
        <v>168</v>
      </c>
      <c r="K36" s="3" t="s">
        <v>63</v>
      </c>
      <c r="L36" s="3" t="s">
        <v>54</v>
      </c>
      <c r="M36" s="3">
        <v>74789</v>
      </c>
      <c r="N36" s="3" t="s">
        <v>31</v>
      </c>
      <c r="O36" s="3">
        <v>8101</v>
      </c>
      <c r="P36" s="3" t="s">
        <v>65</v>
      </c>
      <c r="Q36" s="3">
        <v>14</v>
      </c>
      <c r="R36" s="3">
        <v>5</v>
      </c>
      <c r="S36" s="3" t="s">
        <v>47</v>
      </c>
      <c r="T36" s="3" t="s">
        <v>66</v>
      </c>
      <c r="U36" s="3" t="s">
        <v>46</v>
      </c>
    </row>
    <row r="37" spans="1:21">
      <c r="A37" s="3">
        <v>8445</v>
      </c>
      <c r="B37" s="3" t="s">
        <v>169</v>
      </c>
      <c r="C37" s="3" t="s">
        <v>22</v>
      </c>
      <c r="D37" s="3">
        <v>24</v>
      </c>
      <c r="E37" s="3" t="s">
        <v>23</v>
      </c>
      <c r="F37" s="3" t="s">
        <v>102</v>
      </c>
      <c r="G37" s="3" t="s">
        <v>25</v>
      </c>
      <c r="H37" s="3" t="s">
        <v>60</v>
      </c>
      <c r="I37" s="3" t="s">
        <v>170</v>
      </c>
      <c r="J37" s="3" t="s">
        <v>171</v>
      </c>
      <c r="K37" s="3" t="s">
        <v>29</v>
      </c>
      <c r="L37" s="3" t="s">
        <v>54</v>
      </c>
      <c r="M37" s="3">
        <v>30137</v>
      </c>
      <c r="N37" s="3" t="s">
        <v>45</v>
      </c>
      <c r="O37" s="3">
        <v>4031</v>
      </c>
      <c r="P37" s="3" t="s">
        <v>46</v>
      </c>
      <c r="Q37" s="3">
        <v>5</v>
      </c>
      <c r="R37" s="3">
        <v>3</v>
      </c>
      <c r="S37" s="3" t="s">
        <v>46</v>
      </c>
      <c r="T37" s="3" t="s">
        <v>56</v>
      </c>
      <c r="U37" s="3" t="s">
        <v>35</v>
      </c>
    </row>
    <row r="38" spans="1:21">
      <c r="A38" s="3">
        <v>1550</v>
      </c>
      <c r="B38" s="3" t="s">
        <v>172</v>
      </c>
      <c r="C38" s="3" t="s">
        <v>37</v>
      </c>
      <c r="D38" s="3">
        <v>21</v>
      </c>
      <c r="E38" s="3" t="s">
        <v>23</v>
      </c>
      <c r="F38" s="3" t="s">
        <v>39</v>
      </c>
      <c r="G38" s="3" t="s">
        <v>25</v>
      </c>
      <c r="H38" s="3" t="s">
        <v>26</v>
      </c>
      <c r="I38" s="3" t="s">
        <v>173</v>
      </c>
      <c r="J38" s="3" t="s">
        <v>174</v>
      </c>
      <c r="K38" s="3" t="s">
        <v>29</v>
      </c>
      <c r="L38" s="3" t="s">
        <v>54</v>
      </c>
      <c r="M38" s="3">
        <v>95510</v>
      </c>
      <c r="N38" s="3" t="s">
        <v>31</v>
      </c>
      <c r="O38" s="3">
        <v>6811</v>
      </c>
      <c r="P38" s="3" t="s">
        <v>32</v>
      </c>
      <c r="Q38" s="3">
        <v>18</v>
      </c>
      <c r="R38" s="3">
        <v>4</v>
      </c>
      <c r="S38" s="3" t="s">
        <v>47</v>
      </c>
      <c r="T38" s="3" t="s">
        <v>96</v>
      </c>
      <c r="U38" s="3" t="s">
        <v>35</v>
      </c>
    </row>
    <row r="39" spans="1:21">
      <c r="A39" s="3">
        <v>9968</v>
      </c>
      <c r="B39" s="3" t="s">
        <v>175</v>
      </c>
      <c r="C39" s="3" t="s">
        <v>37</v>
      </c>
      <c r="D39" s="3">
        <v>58</v>
      </c>
      <c r="E39" s="3" t="s">
        <v>68</v>
      </c>
      <c r="F39" s="3" t="s">
        <v>39</v>
      </c>
      <c r="G39" s="3" t="s">
        <v>72</v>
      </c>
      <c r="H39" s="3" t="s">
        <v>26</v>
      </c>
      <c r="I39" s="3" t="s">
        <v>176</v>
      </c>
      <c r="J39" s="3" t="s">
        <v>177</v>
      </c>
      <c r="K39" s="3" t="s">
        <v>63</v>
      </c>
      <c r="L39" s="3" t="s">
        <v>30</v>
      </c>
      <c r="M39" s="3">
        <v>80325</v>
      </c>
      <c r="N39" s="3" t="s">
        <v>45</v>
      </c>
      <c r="O39" s="3">
        <v>6230</v>
      </c>
      <c r="P39" s="3" t="s">
        <v>32</v>
      </c>
      <c r="Q39" s="3">
        <v>5</v>
      </c>
      <c r="R39" s="3">
        <v>4</v>
      </c>
      <c r="S39" s="3" t="s">
        <v>46</v>
      </c>
      <c r="T39" s="3" t="s">
        <v>66</v>
      </c>
      <c r="U39" s="3" t="s">
        <v>57</v>
      </c>
    </row>
    <row r="40" spans="1:21">
      <c r="A40" s="3">
        <v>8029</v>
      </c>
      <c r="B40" s="3" t="s">
        <v>178</v>
      </c>
      <c r="C40" s="3" t="s">
        <v>22</v>
      </c>
      <c r="D40" s="3">
        <v>57</v>
      </c>
      <c r="E40" s="3" t="s">
        <v>68</v>
      </c>
      <c r="F40" s="3" t="s">
        <v>80</v>
      </c>
      <c r="G40" s="3" t="s">
        <v>121</v>
      </c>
      <c r="H40" s="3" t="s">
        <v>81</v>
      </c>
      <c r="I40" s="3" t="s">
        <v>179</v>
      </c>
      <c r="J40" s="3" t="s">
        <v>180</v>
      </c>
      <c r="K40" s="3" t="s">
        <v>111</v>
      </c>
      <c r="L40" s="3" t="s">
        <v>44</v>
      </c>
      <c r="M40" s="3">
        <v>34109</v>
      </c>
      <c r="N40" s="3" t="s">
        <v>45</v>
      </c>
      <c r="O40" s="3">
        <v>9232</v>
      </c>
      <c r="P40" s="3" t="s">
        <v>32</v>
      </c>
      <c r="Q40" s="3">
        <v>13</v>
      </c>
      <c r="R40" s="3">
        <v>3</v>
      </c>
      <c r="S40" s="3" t="s">
        <v>33</v>
      </c>
      <c r="T40" s="3" t="s">
        <v>34</v>
      </c>
      <c r="U40" s="3" t="s">
        <v>35</v>
      </c>
    </row>
    <row r="41" spans="1:21">
      <c r="A41" s="3">
        <v>8847</v>
      </c>
      <c r="B41" s="3" t="s">
        <v>181</v>
      </c>
      <c r="C41" s="3" t="s">
        <v>37</v>
      </c>
      <c r="D41" s="3">
        <v>41</v>
      </c>
      <c r="E41" s="3" t="s">
        <v>59</v>
      </c>
      <c r="F41" s="3" t="s">
        <v>80</v>
      </c>
      <c r="G41" s="3" t="s">
        <v>72</v>
      </c>
      <c r="H41" s="3" t="s">
        <v>26</v>
      </c>
      <c r="I41" s="3" t="s">
        <v>182</v>
      </c>
      <c r="J41" s="3" t="s">
        <v>183</v>
      </c>
      <c r="K41" s="3" t="s">
        <v>111</v>
      </c>
      <c r="L41" s="3" t="s">
        <v>54</v>
      </c>
      <c r="M41" s="3">
        <v>73330</v>
      </c>
      <c r="N41" s="3" t="s">
        <v>31</v>
      </c>
      <c r="O41" s="3">
        <v>2276</v>
      </c>
      <c r="P41" s="3" t="s">
        <v>65</v>
      </c>
      <c r="Q41" s="3">
        <v>5</v>
      </c>
      <c r="R41" s="3">
        <v>1</v>
      </c>
      <c r="S41" s="3" t="s">
        <v>46</v>
      </c>
      <c r="T41" s="3" t="s">
        <v>56</v>
      </c>
      <c r="U41" s="3" t="s">
        <v>57</v>
      </c>
    </row>
    <row r="42" spans="1:21">
      <c r="A42" s="3">
        <v>1955</v>
      </c>
      <c r="B42" s="3" t="s">
        <v>184</v>
      </c>
      <c r="C42" s="3" t="s">
        <v>22</v>
      </c>
      <c r="D42" s="3">
        <v>58</v>
      </c>
      <c r="E42" s="3" t="s">
        <v>68</v>
      </c>
      <c r="F42" s="3" t="s">
        <v>49</v>
      </c>
      <c r="G42" s="3" t="s">
        <v>50</v>
      </c>
      <c r="H42" s="3" t="s">
        <v>41</v>
      </c>
      <c r="I42" s="3" t="s">
        <v>185</v>
      </c>
      <c r="J42" s="3" t="s">
        <v>186</v>
      </c>
      <c r="K42" s="3" t="s">
        <v>63</v>
      </c>
      <c r="L42" s="3" t="s">
        <v>54</v>
      </c>
      <c r="M42" s="3">
        <v>46567</v>
      </c>
      <c r="N42" s="3" t="s">
        <v>64</v>
      </c>
      <c r="O42" s="3">
        <v>2825</v>
      </c>
      <c r="P42" s="3" t="s">
        <v>32</v>
      </c>
      <c r="Q42" s="3">
        <v>15</v>
      </c>
      <c r="R42" s="3">
        <v>3</v>
      </c>
      <c r="S42" s="3" t="s">
        <v>46</v>
      </c>
      <c r="T42" s="3" t="s">
        <v>96</v>
      </c>
      <c r="U42" s="3" t="s">
        <v>57</v>
      </c>
    </row>
    <row r="43" spans="1:21">
      <c r="A43" s="3">
        <v>4522</v>
      </c>
      <c r="B43" s="3" t="s">
        <v>187</v>
      </c>
      <c r="C43" s="3" t="s">
        <v>22</v>
      </c>
      <c r="D43" s="3">
        <v>36</v>
      </c>
      <c r="E43" s="3" t="s">
        <v>59</v>
      </c>
      <c r="F43" s="3" t="s">
        <v>24</v>
      </c>
      <c r="G43" s="3" t="s">
        <v>121</v>
      </c>
      <c r="H43" s="3" t="s">
        <v>26</v>
      </c>
      <c r="I43" s="3" t="s">
        <v>188</v>
      </c>
      <c r="J43" s="3" t="s">
        <v>189</v>
      </c>
      <c r="K43" s="3" t="s">
        <v>63</v>
      </c>
      <c r="L43" s="3" t="s">
        <v>44</v>
      </c>
      <c r="M43" s="3">
        <v>39795</v>
      </c>
      <c r="N43" s="3" t="s">
        <v>64</v>
      </c>
      <c r="O43" s="3">
        <v>1670</v>
      </c>
      <c r="P43" s="3" t="s">
        <v>46</v>
      </c>
      <c r="Q43" s="3">
        <v>0</v>
      </c>
      <c r="R43" s="3">
        <v>2</v>
      </c>
      <c r="S43" s="3" t="s">
        <v>47</v>
      </c>
      <c r="T43" s="3" t="s">
        <v>75</v>
      </c>
      <c r="U43" s="3" t="s">
        <v>46</v>
      </c>
    </row>
    <row r="44" spans="1:21">
      <c r="A44" s="3">
        <v>3078</v>
      </c>
      <c r="B44" s="3" t="s">
        <v>190</v>
      </c>
      <c r="C44" s="3" t="s">
        <v>22</v>
      </c>
      <c r="D44" s="3">
        <v>21</v>
      </c>
      <c r="E44" s="3" t="s">
        <v>23</v>
      </c>
      <c r="F44" s="3" t="s">
        <v>24</v>
      </c>
      <c r="G44" s="3" t="s">
        <v>25</v>
      </c>
      <c r="H44" s="3" t="s">
        <v>81</v>
      </c>
      <c r="I44" s="3" t="s">
        <v>191</v>
      </c>
      <c r="J44" s="3" t="s">
        <v>192</v>
      </c>
      <c r="K44" s="3" t="s">
        <v>63</v>
      </c>
      <c r="L44" s="3" t="s">
        <v>54</v>
      </c>
      <c r="M44" s="3">
        <v>59506</v>
      </c>
      <c r="N44" s="3" t="s">
        <v>64</v>
      </c>
      <c r="O44" s="3">
        <v>4428</v>
      </c>
      <c r="P44" s="3" t="s">
        <v>65</v>
      </c>
      <c r="Q44" s="3">
        <v>0</v>
      </c>
      <c r="R44" s="3">
        <v>1</v>
      </c>
      <c r="S44" s="3" t="s">
        <v>46</v>
      </c>
      <c r="T44" s="3" t="s">
        <v>75</v>
      </c>
      <c r="U44" s="3" t="s">
        <v>35</v>
      </c>
    </row>
    <row r="45" spans="1:21">
      <c r="A45" s="3">
        <v>6357</v>
      </c>
      <c r="B45" s="3" t="s">
        <v>193</v>
      </c>
      <c r="C45" s="3" t="s">
        <v>22</v>
      </c>
      <c r="D45" s="3">
        <v>46</v>
      </c>
      <c r="E45" s="3" t="s">
        <v>98</v>
      </c>
      <c r="F45" s="3" t="s">
        <v>49</v>
      </c>
      <c r="G45" s="3" t="s">
        <v>40</v>
      </c>
      <c r="H45" s="3" t="s">
        <v>81</v>
      </c>
      <c r="I45" s="3" t="s">
        <v>194</v>
      </c>
      <c r="J45" s="3" t="s">
        <v>195</v>
      </c>
      <c r="K45" s="3" t="s">
        <v>63</v>
      </c>
      <c r="L45" s="3" t="s">
        <v>54</v>
      </c>
      <c r="M45" s="3">
        <v>49058</v>
      </c>
      <c r="N45" s="3" t="s">
        <v>45</v>
      </c>
      <c r="O45" s="3">
        <v>4396</v>
      </c>
      <c r="P45" s="3" t="s">
        <v>46</v>
      </c>
      <c r="Q45" s="3">
        <v>5</v>
      </c>
      <c r="R45" s="3">
        <v>1</v>
      </c>
      <c r="S45" s="3" t="s">
        <v>46</v>
      </c>
      <c r="T45" s="3" t="s">
        <v>75</v>
      </c>
      <c r="U45" s="3" t="s">
        <v>46</v>
      </c>
    </row>
    <row r="46" spans="1:21">
      <c r="A46" s="3">
        <v>7951</v>
      </c>
      <c r="B46" s="3" t="s">
        <v>196</v>
      </c>
      <c r="C46" s="3" t="s">
        <v>22</v>
      </c>
      <c r="D46" s="3">
        <v>36</v>
      </c>
      <c r="E46" s="3" t="s">
        <v>59</v>
      </c>
      <c r="F46" s="3" t="s">
        <v>80</v>
      </c>
      <c r="G46" s="3" t="s">
        <v>50</v>
      </c>
      <c r="H46" s="3" t="s">
        <v>81</v>
      </c>
      <c r="I46" s="3" t="s">
        <v>197</v>
      </c>
      <c r="J46" s="3" t="s">
        <v>198</v>
      </c>
      <c r="K46" s="3" t="s">
        <v>63</v>
      </c>
      <c r="L46" s="3" t="s">
        <v>30</v>
      </c>
      <c r="M46" s="3">
        <v>98612</v>
      </c>
      <c r="N46" s="3" t="s">
        <v>64</v>
      </c>
      <c r="O46" s="3">
        <v>1168</v>
      </c>
      <c r="P46" s="3" t="s">
        <v>46</v>
      </c>
      <c r="Q46" s="3">
        <v>9</v>
      </c>
      <c r="R46" s="3">
        <v>2</v>
      </c>
      <c r="S46" s="3" t="s">
        <v>47</v>
      </c>
      <c r="T46" s="3" t="s">
        <v>34</v>
      </c>
      <c r="U46" s="3" t="s">
        <v>35</v>
      </c>
    </row>
    <row r="47" spans="1:21">
      <c r="A47" s="3">
        <v>9228</v>
      </c>
      <c r="B47" s="3" t="s">
        <v>199</v>
      </c>
      <c r="C47" s="3" t="s">
        <v>37</v>
      </c>
      <c r="D47" s="3">
        <v>41</v>
      </c>
      <c r="E47" s="3" t="s">
        <v>59</v>
      </c>
      <c r="F47" s="3" t="s">
        <v>102</v>
      </c>
      <c r="G47" s="3" t="s">
        <v>72</v>
      </c>
      <c r="H47" s="3" t="s">
        <v>41</v>
      </c>
      <c r="I47" s="3" t="s">
        <v>200</v>
      </c>
      <c r="J47" s="3" t="s">
        <v>201</v>
      </c>
      <c r="K47" s="3" t="s">
        <v>111</v>
      </c>
      <c r="L47" s="3" t="s">
        <v>44</v>
      </c>
      <c r="M47" s="3">
        <v>38201</v>
      </c>
      <c r="N47" s="3" t="s">
        <v>64</v>
      </c>
      <c r="O47" s="3">
        <v>7111</v>
      </c>
      <c r="P47" s="3" t="s">
        <v>32</v>
      </c>
      <c r="Q47" s="3">
        <v>8</v>
      </c>
      <c r="R47" s="3">
        <v>4</v>
      </c>
      <c r="S47" s="3" t="s">
        <v>33</v>
      </c>
      <c r="T47" s="3" t="s">
        <v>75</v>
      </c>
      <c r="U47" s="3" t="s">
        <v>46</v>
      </c>
    </row>
    <row r="48" spans="1:21">
      <c r="A48" s="3">
        <v>8988</v>
      </c>
      <c r="B48" s="3" t="s">
        <v>202</v>
      </c>
      <c r="C48" s="3" t="s">
        <v>37</v>
      </c>
      <c r="D48" s="3">
        <v>25</v>
      </c>
      <c r="E48" s="3" t="s">
        <v>23</v>
      </c>
      <c r="F48" s="3" t="s">
        <v>24</v>
      </c>
      <c r="G48" s="3" t="s">
        <v>50</v>
      </c>
      <c r="H48" s="3" t="s">
        <v>51</v>
      </c>
      <c r="I48" s="3" t="s">
        <v>203</v>
      </c>
      <c r="J48" s="3" t="s">
        <v>204</v>
      </c>
      <c r="K48" s="3" t="s">
        <v>111</v>
      </c>
      <c r="L48" s="3" t="s">
        <v>44</v>
      </c>
      <c r="M48" s="3">
        <v>92919</v>
      </c>
      <c r="N48" s="3" t="s">
        <v>55</v>
      </c>
      <c r="O48" s="3">
        <v>9497</v>
      </c>
      <c r="P48" s="3" t="s">
        <v>32</v>
      </c>
      <c r="Q48" s="3">
        <v>7</v>
      </c>
      <c r="R48" s="3">
        <v>2</v>
      </c>
      <c r="S48" s="3" t="s">
        <v>46</v>
      </c>
      <c r="T48" s="3" t="s">
        <v>75</v>
      </c>
      <c r="U48" s="3" t="s">
        <v>57</v>
      </c>
    </row>
    <row r="49" spans="1:21">
      <c r="A49" s="3">
        <v>1952</v>
      </c>
      <c r="B49" s="3" t="s">
        <v>205</v>
      </c>
      <c r="C49" s="3" t="s">
        <v>22</v>
      </c>
      <c r="D49" s="3">
        <v>29</v>
      </c>
      <c r="E49" s="3" t="s">
        <v>38</v>
      </c>
      <c r="F49" s="3" t="s">
        <v>102</v>
      </c>
      <c r="G49" s="3" t="s">
        <v>25</v>
      </c>
      <c r="H49" s="3" t="s">
        <v>41</v>
      </c>
      <c r="I49" s="3" t="s">
        <v>206</v>
      </c>
      <c r="J49" s="3" t="s">
        <v>207</v>
      </c>
      <c r="K49" s="3" t="s">
        <v>29</v>
      </c>
      <c r="L49" s="3" t="s">
        <v>54</v>
      </c>
      <c r="M49" s="3">
        <v>45188</v>
      </c>
      <c r="N49" s="3" t="s">
        <v>64</v>
      </c>
      <c r="O49" s="3">
        <v>9591</v>
      </c>
      <c r="P49" s="3" t="s">
        <v>65</v>
      </c>
      <c r="Q49" s="3">
        <v>18</v>
      </c>
      <c r="R49" s="3">
        <v>3</v>
      </c>
      <c r="S49" s="3" t="s">
        <v>33</v>
      </c>
      <c r="T49" s="3" t="s">
        <v>75</v>
      </c>
      <c r="U49" s="3" t="s">
        <v>46</v>
      </c>
    </row>
    <row r="50" spans="1:21">
      <c r="A50" s="3">
        <v>5760</v>
      </c>
      <c r="B50" s="3" t="s">
        <v>208</v>
      </c>
      <c r="C50" s="3" t="s">
        <v>22</v>
      </c>
      <c r="D50" s="3">
        <v>59</v>
      </c>
      <c r="E50" s="3" t="s">
        <v>68</v>
      </c>
      <c r="F50" s="3" t="s">
        <v>49</v>
      </c>
      <c r="G50" s="3" t="s">
        <v>40</v>
      </c>
      <c r="H50" s="3" t="s">
        <v>26</v>
      </c>
      <c r="I50" s="3" t="s">
        <v>209</v>
      </c>
      <c r="J50" s="3" t="s">
        <v>210</v>
      </c>
      <c r="K50" s="3" t="s">
        <v>29</v>
      </c>
      <c r="L50" s="3" t="s">
        <v>44</v>
      </c>
      <c r="M50" s="3">
        <v>34927</v>
      </c>
      <c r="N50" s="3" t="s">
        <v>55</v>
      </c>
      <c r="O50" s="3">
        <v>6996</v>
      </c>
      <c r="P50" s="3" t="s">
        <v>65</v>
      </c>
      <c r="Q50" s="3">
        <v>16</v>
      </c>
      <c r="R50" s="3">
        <v>1</v>
      </c>
      <c r="S50" s="3" t="s">
        <v>47</v>
      </c>
      <c r="T50" s="3" t="s">
        <v>34</v>
      </c>
      <c r="U50" s="3" t="s">
        <v>35</v>
      </c>
    </row>
    <row r="51" spans="1:21">
      <c r="A51" s="3">
        <v>5742</v>
      </c>
      <c r="B51" s="3" t="s">
        <v>211</v>
      </c>
      <c r="C51" s="3" t="s">
        <v>22</v>
      </c>
      <c r="D51" s="3">
        <v>27</v>
      </c>
      <c r="E51" s="3" t="s">
        <v>38</v>
      </c>
      <c r="F51" s="3" t="s">
        <v>24</v>
      </c>
      <c r="G51" s="3" t="s">
        <v>50</v>
      </c>
      <c r="H51" s="3" t="s">
        <v>60</v>
      </c>
      <c r="I51" s="3" t="s">
        <v>212</v>
      </c>
      <c r="J51" s="3" t="s">
        <v>213</v>
      </c>
      <c r="K51" s="3" t="s">
        <v>29</v>
      </c>
      <c r="L51" s="3" t="s">
        <v>44</v>
      </c>
      <c r="M51" s="3">
        <v>33183</v>
      </c>
      <c r="N51" s="3" t="s">
        <v>64</v>
      </c>
      <c r="O51" s="3">
        <v>1659</v>
      </c>
      <c r="P51" s="3" t="s">
        <v>46</v>
      </c>
      <c r="Q51" s="3">
        <v>11</v>
      </c>
      <c r="R51" s="3">
        <v>1</v>
      </c>
      <c r="S51" s="3" t="s">
        <v>33</v>
      </c>
      <c r="T51" s="3" t="s">
        <v>66</v>
      </c>
      <c r="U51" s="3" t="s">
        <v>46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894A8E-38D7-4562-9EFD-D33179163AA3}">
  <dimension ref="V18:Z25"/>
  <sheetViews>
    <sheetView showGridLines="0" tabSelected="1" zoomScale="69" zoomScaleNormal="63" workbookViewId="0">
      <selection activeCell="V16" sqref="V16"/>
    </sheetView>
  </sheetViews>
  <sheetFormatPr defaultRowHeight="13.8"/>
  <cols>
    <col min="1" max="16384" width="8.88671875" style="4"/>
  </cols>
  <sheetData>
    <row r="18" spans="22:26">
      <c r="Z18" s="11"/>
    </row>
    <row r="19" spans="22:26" ht="14.4">
      <c r="V19" s="13"/>
      <c r="Z19" s="12"/>
    </row>
    <row r="20" spans="22:26" ht="14.4">
      <c r="Z20" s="12"/>
    </row>
    <row r="21" spans="22:26" ht="14.4">
      <c r="Z21" s="12"/>
    </row>
    <row r="22" spans="22:26" ht="14.4">
      <c r="Z22" s="12"/>
    </row>
    <row r="23" spans="22:26" ht="14.4">
      <c r="Z23" s="12"/>
    </row>
    <row r="24" spans="22:26">
      <c r="Z24" s="11"/>
    </row>
    <row r="25" spans="22:26">
      <c r="Z25" s="11"/>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A76D66-74D0-4B8E-8B8E-5B84AA328DF0}">
  <dimension ref="B2:AB20"/>
  <sheetViews>
    <sheetView zoomScale="47" zoomScaleNormal="250" workbookViewId="0">
      <selection activeCell="W6" sqref="W5:W9"/>
      <pivotSelection pane="bottomRight" showHeader="1" activeRow="5" activeCol="22" click="1" r:id="rId3">
        <pivotArea dataOnly="0" labelOnly="1" fieldPosition="0">
          <references count="1">
            <reference field="6" count="0"/>
          </references>
        </pivotArea>
      </pivotSelection>
    </sheetView>
  </sheetViews>
  <sheetFormatPr defaultRowHeight="14.4"/>
  <cols>
    <col min="2" max="3" width="12.44140625" bestFit="1" customWidth="1"/>
    <col min="4" max="4" width="12.21875" bestFit="1" customWidth="1"/>
    <col min="5" max="5" width="16.21875" bestFit="1" customWidth="1"/>
    <col min="6" max="6" width="13.5546875" bestFit="1" customWidth="1"/>
    <col min="8" max="8" width="19" bestFit="1" customWidth="1"/>
    <col min="9" max="9" width="19.44140625" bestFit="1" customWidth="1"/>
    <col min="10" max="10" width="5.77734375" bestFit="1" customWidth="1"/>
    <col min="11" max="11" width="11.6640625" bestFit="1" customWidth="1"/>
    <col min="13" max="13" width="16.21875" bestFit="1" customWidth="1"/>
    <col min="14" max="14" width="19" bestFit="1" customWidth="1"/>
    <col min="15" max="16" width="4.5546875" bestFit="1" customWidth="1"/>
    <col min="17" max="17" width="16.21875" bestFit="1" customWidth="1"/>
    <col min="18" max="18" width="19" bestFit="1" customWidth="1"/>
    <col min="19" max="19" width="27.44140625" bestFit="1" customWidth="1"/>
    <col min="20" max="20" width="16.21875" bestFit="1" customWidth="1"/>
    <col min="21" max="21" width="19" bestFit="1" customWidth="1"/>
    <col min="22" max="22" width="8.88671875" customWidth="1"/>
    <col min="23" max="23" width="16.21875" bestFit="1" customWidth="1"/>
    <col min="24" max="24" width="13.5546875" bestFit="1" customWidth="1"/>
    <col min="25" max="25" width="19.44140625" bestFit="1" customWidth="1"/>
    <col min="27" max="27" width="16.21875" bestFit="1" customWidth="1"/>
    <col min="28" max="28" width="29.6640625" bestFit="1" customWidth="1"/>
  </cols>
  <sheetData>
    <row r="2" spans="2:28">
      <c r="B2" s="8" t="s">
        <v>217</v>
      </c>
      <c r="C2" s="8"/>
      <c r="E2" s="8" t="s">
        <v>221</v>
      </c>
      <c r="F2" s="8"/>
      <c r="H2" s="8" t="s">
        <v>227</v>
      </c>
      <c r="I2" s="8"/>
      <c r="J2" s="8"/>
      <c r="K2" s="8"/>
      <c r="Q2" s="8" t="s">
        <v>229</v>
      </c>
      <c r="R2" s="8"/>
      <c r="T2" s="8" t="s">
        <v>229</v>
      </c>
      <c r="U2" s="8"/>
    </row>
    <row r="3" spans="2:28">
      <c r="B3" s="5" t="s">
        <v>214</v>
      </c>
      <c r="C3" t="s">
        <v>216</v>
      </c>
      <c r="E3" s="5" t="s">
        <v>214</v>
      </c>
      <c r="F3" t="s">
        <v>219</v>
      </c>
      <c r="H3" s="5" t="s">
        <v>216</v>
      </c>
      <c r="I3" s="5" t="s">
        <v>223</v>
      </c>
      <c r="M3" s="8" t="s">
        <v>229</v>
      </c>
      <c r="N3" s="8"/>
      <c r="Q3" s="5" t="s">
        <v>214</v>
      </c>
      <c r="R3" t="s">
        <v>216</v>
      </c>
      <c r="T3" s="5" t="s">
        <v>214</v>
      </c>
      <c r="U3" t="s">
        <v>216</v>
      </c>
      <c r="W3" s="8" t="s">
        <v>222</v>
      </c>
      <c r="X3" s="8"/>
      <c r="Y3" s="8"/>
    </row>
    <row r="4" spans="2:28">
      <c r="B4" s="6" t="s">
        <v>63</v>
      </c>
      <c r="C4" s="7">
        <v>17</v>
      </c>
      <c r="E4" s="6" t="s">
        <v>121</v>
      </c>
      <c r="F4" s="7">
        <v>167041</v>
      </c>
      <c r="H4" s="5" t="s">
        <v>214</v>
      </c>
      <c r="I4" t="s">
        <v>22</v>
      </c>
      <c r="J4" t="s">
        <v>37</v>
      </c>
      <c r="K4" t="s">
        <v>215</v>
      </c>
      <c r="M4" s="5" t="s">
        <v>214</v>
      </c>
      <c r="N4" t="s">
        <v>216</v>
      </c>
      <c r="Q4" s="6" t="s">
        <v>39</v>
      </c>
      <c r="R4" s="7">
        <v>14</v>
      </c>
      <c r="T4" s="6" t="s">
        <v>75</v>
      </c>
      <c r="U4" s="7">
        <v>12</v>
      </c>
      <c r="W4" s="5" t="s">
        <v>214</v>
      </c>
      <c r="X4" t="s">
        <v>219</v>
      </c>
      <c r="Y4" t="s">
        <v>231</v>
      </c>
      <c r="AA4" s="8" t="s">
        <v>229</v>
      </c>
      <c r="AB4" s="8"/>
    </row>
    <row r="5" spans="2:28">
      <c r="B5" s="6" t="s">
        <v>29</v>
      </c>
      <c r="C5" s="7">
        <v>20</v>
      </c>
      <c r="E5" s="6" t="s">
        <v>40</v>
      </c>
      <c r="F5" s="7">
        <v>613842</v>
      </c>
      <c r="H5" s="6" t="s">
        <v>23</v>
      </c>
      <c r="I5" s="7">
        <v>6</v>
      </c>
      <c r="J5" s="7">
        <v>3</v>
      </c>
      <c r="K5" s="7">
        <v>9</v>
      </c>
      <c r="M5" s="6" t="s">
        <v>44</v>
      </c>
      <c r="N5" s="7">
        <v>23</v>
      </c>
      <c r="Q5" s="6" t="s">
        <v>24</v>
      </c>
      <c r="R5" s="7">
        <v>10</v>
      </c>
      <c r="T5" s="6" t="s">
        <v>34</v>
      </c>
      <c r="U5" s="7">
        <v>11</v>
      </c>
      <c r="W5" s="6" t="s">
        <v>121</v>
      </c>
      <c r="X5" s="7">
        <v>167041</v>
      </c>
      <c r="Y5" s="7">
        <v>28</v>
      </c>
      <c r="AA5" s="5" t="s">
        <v>214</v>
      </c>
      <c r="AB5" t="s">
        <v>232</v>
      </c>
    </row>
    <row r="6" spans="2:28">
      <c r="B6" s="6" t="s">
        <v>111</v>
      </c>
      <c r="C6" s="7">
        <v>13</v>
      </c>
      <c r="E6" s="6" t="s">
        <v>72</v>
      </c>
      <c r="F6" s="7">
        <v>633594</v>
      </c>
      <c r="H6" s="6" t="s">
        <v>38</v>
      </c>
      <c r="I6" s="7">
        <v>7</v>
      </c>
      <c r="J6" s="7">
        <v>6</v>
      </c>
      <c r="K6" s="7">
        <v>13</v>
      </c>
      <c r="M6" s="6" t="s">
        <v>30</v>
      </c>
      <c r="N6" s="7">
        <v>8</v>
      </c>
      <c r="Q6" s="6" t="s">
        <v>102</v>
      </c>
      <c r="R6" s="7">
        <v>7</v>
      </c>
      <c r="T6" s="6" t="s">
        <v>96</v>
      </c>
      <c r="U6" s="7">
        <v>7</v>
      </c>
      <c r="W6" s="6" t="s">
        <v>40</v>
      </c>
      <c r="X6" s="7">
        <v>613842</v>
      </c>
      <c r="Y6" s="7">
        <v>110</v>
      </c>
      <c r="AA6" s="6" t="s">
        <v>26</v>
      </c>
      <c r="AB6" s="7">
        <v>2.5833333333333335</v>
      </c>
    </row>
    <row r="7" spans="2:28">
      <c r="B7" s="6" t="s">
        <v>215</v>
      </c>
      <c r="C7" s="7">
        <v>50</v>
      </c>
      <c r="E7" s="6" t="s">
        <v>50</v>
      </c>
      <c r="F7" s="7">
        <v>959266</v>
      </c>
      <c r="H7" s="6" t="s">
        <v>59</v>
      </c>
      <c r="I7" s="7">
        <v>5</v>
      </c>
      <c r="J7" s="7">
        <v>7</v>
      </c>
      <c r="K7" s="7">
        <v>12</v>
      </c>
      <c r="M7" s="6" t="s">
        <v>54</v>
      </c>
      <c r="N7" s="7">
        <v>19</v>
      </c>
      <c r="Q7" s="6" t="s">
        <v>80</v>
      </c>
      <c r="R7" s="7">
        <v>10</v>
      </c>
      <c r="T7" s="6" t="s">
        <v>56</v>
      </c>
      <c r="U7" s="7">
        <v>11</v>
      </c>
      <c r="W7" s="6" t="s">
        <v>72</v>
      </c>
      <c r="X7" s="7">
        <v>633594</v>
      </c>
      <c r="Y7" s="7">
        <v>104</v>
      </c>
      <c r="AA7" s="6" t="s">
        <v>41</v>
      </c>
      <c r="AB7" s="7">
        <v>3.3</v>
      </c>
    </row>
    <row r="8" spans="2:28">
      <c r="E8" s="6" t="s">
        <v>25</v>
      </c>
      <c r="F8" s="7">
        <v>731170</v>
      </c>
      <c r="H8" s="6" t="s">
        <v>98</v>
      </c>
      <c r="I8" s="7">
        <v>4</v>
      </c>
      <c r="J8" s="7">
        <v>3</v>
      </c>
      <c r="K8" s="7">
        <v>7</v>
      </c>
      <c r="M8" s="6" t="s">
        <v>215</v>
      </c>
      <c r="N8" s="7">
        <v>50</v>
      </c>
      <c r="Q8" s="6" t="s">
        <v>49</v>
      </c>
      <c r="R8" s="7">
        <v>9</v>
      </c>
      <c r="T8" s="6" t="s">
        <v>66</v>
      </c>
      <c r="U8" s="7">
        <v>9</v>
      </c>
      <c r="W8" s="6" t="s">
        <v>50</v>
      </c>
      <c r="X8" s="7">
        <v>959266</v>
      </c>
      <c r="Y8" s="7">
        <v>123</v>
      </c>
      <c r="AA8" s="6" t="s">
        <v>81</v>
      </c>
      <c r="AB8" s="7">
        <v>2.25</v>
      </c>
    </row>
    <row r="9" spans="2:28">
      <c r="E9" s="6" t="s">
        <v>215</v>
      </c>
      <c r="F9" s="7">
        <v>3104913</v>
      </c>
      <c r="H9" s="6" t="s">
        <v>68</v>
      </c>
      <c r="I9" s="7">
        <v>4</v>
      </c>
      <c r="J9" s="7">
        <v>5</v>
      </c>
      <c r="K9" s="7">
        <v>9</v>
      </c>
      <c r="Q9" s="6" t="s">
        <v>215</v>
      </c>
      <c r="R9" s="7">
        <v>50</v>
      </c>
      <c r="T9" s="6" t="s">
        <v>215</v>
      </c>
      <c r="U9" s="7">
        <v>50</v>
      </c>
      <c r="W9" s="6" t="s">
        <v>25</v>
      </c>
      <c r="X9" s="7">
        <v>731170</v>
      </c>
      <c r="Y9" s="7">
        <v>122</v>
      </c>
      <c r="AA9" s="6" t="s">
        <v>51</v>
      </c>
      <c r="AB9" s="7">
        <v>2.3636363636363638</v>
      </c>
    </row>
    <row r="10" spans="2:28">
      <c r="B10" s="6" t="s">
        <v>63</v>
      </c>
      <c r="C10">
        <f>IFERROR(GETPIVOTDATA("Full Name",$B$3,"Employment Status","Contract"),"0")</f>
        <v>17</v>
      </c>
      <c r="H10" s="6" t="s">
        <v>215</v>
      </c>
      <c r="I10" s="7">
        <v>26</v>
      </c>
      <c r="J10" s="7">
        <v>24</v>
      </c>
      <c r="K10" s="7">
        <v>50</v>
      </c>
      <c r="W10" s="6" t="s">
        <v>215</v>
      </c>
      <c r="X10" s="7">
        <v>3104913</v>
      </c>
      <c r="Y10" s="7">
        <v>487</v>
      </c>
      <c r="AA10" s="6" t="s">
        <v>60</v>
      </c>
      <c r="AB10" s="7">
        <v>2.5555555555555554</v>
      </c>
    </row>
    <row r="11" spans="2:28">
      <c r="B11" s="6" t="s">
        <v>29</v>
      </c>
      <c r="C11">
        <f>IFERROR(GETPIVOTDATA("Full Name",$B$3,"Employment Status","Full-Time"),"0")</f>
        <v>20</v>
      </c>
      <c r="E11" s="6" t="s">
        <v>121</v>
      </c>
      <c r="F11">
        <f>IFERROR(GETPIVOTDATA("Salary",$E$3,"Job Title","Analyst"),"0")</f>
        <v>167041</v>
      </c>
      <c r="M11" s="6" t="s">
        <v>44</v>
      </c>
      <c r="N11">
        <f>IFERROR(GETPIVOTDATA("Full Name",$M$4,"Work Location","Branch Office"),"0")</f>
        <v>23</v>
      </c>
      <c r="O11" s="9">
        <f t="shared" ref="O11:O13" si="0">SUM(N11)/SUM($N$11:$N$13)</f>
        <v>0.46</v>
      </c>
      <c r="P11" s="10">
        <f>1-O11</f>
        <v>0.54</v>
      </c>
      <c r="AA11" s="6" t="s">
        <v>215</v>
      </c>
      <c r="AB11" s="7">
        <v>2.62</v>
      </c>
    </row>
    <row r="12" spans="2:28">
      <c r="B12" s="6" t="s">
        <v>111</v>
      </c>
      <c r="C12">
        <f>IFERROR(GETPIVOTDATA("Full Name",$B$3,"Employment Status","Part-Time"),"0")</f>
        <v>13</v>
      </c>
      <c r="E12" s="6" t="s">
        <v>40</v>
      </c>
      <c r="F12">
        <f>IFERROR(GETPIVOTDATA("Salary",$E$3,"Job Title","Designer"),"0")</f>
        <v>613842</v>
      </c>
      <c r="H12" s="6" t="s">
        <v>23</v>
      </c>
      <c r="I12">
        <f>IFERROR(GETPIVOTDATA("Full Name",$H$3,"Age range","18-25"),"0")</f>
        <v>9</v>
      </c>
      <c r="M12" s="6" t="s">
        <v>30</v>
      </c>
      <c r="N12">
        <f>IFERROR(GETPIVOTDATA("Full Name",$M$4,"Work Location","Head Office"),"0")</f>
        <v>8</v>
      </c>
      <c r="O12" s="9">
        <f t="shared" si="0"/>
        <v>0.16</v>
      </c>
      <c r="P12" s="10">
        <f t="shared" ref="P12:P13" si="1">1-O12</f>
        <v>0.84</v>
      </c>
      <c r="Q12" s="6" t="s">
        <v>39</v>
      </c>
      <c r="R12">
        <f>IFERROR(GETPIVOTDATA("Full Name",$Q$3,"Region","Central"),"0")</f>
        <v>14</v>
      </c>
      <c r="T12" s="6" t="s">
        <v>75</v>
      </c>
      <c r="U12">
        <f>IFERROR(GETPIVOTDATA("Full Name",$T$3,"Skills","Communication"),"0")</f>
        <v>12</v>
      </c>
    </row>
    <row r="13" spans="2:28">
      <c r="B13" s="6" t="s">
        <v>218</v>
      </c>
      <c r="C13">
        <f>SUM(C10:C12)</f>
        <v>50</v>
      </c>
      <c r="E13" s="6" t="s">
        <v>72</v>
      </c>
      <c r="F13">
        <f>IFERROR(GETPIVOTDATA("Salary",$E$3,"Job Title","Developer"),"0")</f>
        <v>633594</v>
      </c>
      <c r="H13" s="6" t="s">
        <v>38</v>
      </c>
      <c r="I13">
        <f>IFERROR(GETPIVOTDATA("Full Name",$H$3,"Age range","26-35"),"0")</f>
        <v>13</v>
      </c>
      <c r="M13" s="6" t="s">
        <v>54</v>
      </c>
      <c r="N13">
        <f>IFERROR(GETPIVOTDATA("Full Name",$M$4,"Work Location","Remote"),"0")</f>
        <v>19</v>
      </c>
      <c r="O13" s="9">
        <f t="shared" si="0"/>
        <v>0.38</v>
      </c>
      <c r="P13" s="10">
        <f t="shared" si="1"/>
        <v>0.62</v>
      </c>
      <c r="Q13" s="6" t="s">
        <v>24</v>
      </c>
      <c r="R13">
        <f>IFERROR(GETPIVOTDATA("Full Name",$Q$3,"Region","East"),"0")</f>
        <v>10</v>
      </c>
      <c r="T13" s="6" t="s">
        <v>34</v>
      </c>
      <c r="U13">
        <f>IFERROR(GETPIVOTDATA("Full Name",$T$3,"Skills","Design"),"0")</f>
        <v>11</v>
      </c>
      <c r="W13" s="6" t="s">
        <v>121</v>
      </c>
      <c r="X13">
        <f>IFERROR(GETPIVOTDATA("Salary",$E$3,"Job Title","Analyst"),"0")</f>
        <v>167041</v>
      </c>
      <c r="Y13">
        <f>IFERROR(GETPIVOTDATA("Sum of Leave Taken",$W$4,"Job Title","Analyst"),"0")</f>
        <v>28</v>
      </c>
    </row>
    <row r="14" spans="2:28">
      <c r="E14" s="6" t="s">
        <v>50</v>
      </c>
      <c r="F14">
        <f>IFERROR(GETPIVOTDATA("Salary",$E$3,"Job Title","HR Specialist"),"0")</f>
        <v>959266</v>
      </c>
      <c r="H14" s="6" t="s">
        <v>59</v>
      </c>
      <c r="I14">
        <f>IFERROR(GETPIVOTDATA("Full Name",$H$3,"Age range","36-45"),"0")</f>
        <v>12</v>
      </c>
      <c r="M14" s="6" t="s">
        <v>228</v>
      </c>
      <c r="N14">
        <f>SUM(N11:N13)</f>
        <v>50</v>
      </c>
      <c r="Q14" s="6" t="s">
        <v>102</v>
      </c>
      <c r="R14">
        <f>IFERROR(GETPIVOTDATA("Full Name",$Q$3,"Region","North"),"0")</f>
        <v>7</v>
      </c>
      <c r="T14" s="6" t="s">
        <v>96</v>
      </c>
      <c r="U14">
        <f>IFERROR(GETPIVOTDATA("Full Name",$T$3,"Skills","Excel"),"0")</f>
        <v>7</v>
      </c>
      <c r="W14" s="6" t="s">
        <v>40</v>
      </c>
      <c r="X14">
        <f>IFERROR(GETPIVOTDATA("Salary",$E$3,"Job Title","Designer"),"0")</f>
        <v>613842</v>
      </c>
      <c r="Y14">
        <f>IFERROR(GETPIVOTDATA("Sum of Leave Taken",$W$4,"Job Title","Designer"),"0")</f>
        <v>110</v>
      </c>
      <c r="AA14" s="6" t="s">
        <v>26</v>
      </c>
      <c r="AB14" s="14">
        <f>IFERROR(GETPIVOTDATA("Performance Rating",$AA$5,"Department","Finance"),"0")</f>
        <v>2.5833333333333335</v>
      </c>
    </row>
    <row r="15" spans="2:28">
      <c r="E15" s="6" t="s">
        <v>25</v>
      </c>
      <c r="F15">
        <f>IFERROR(GETPIVOTDATA("Salary",$E$3,"Job Title","Manager"),"0")</f>
        <v>731170</v>
      </c>
      <c r="H15" s="6" t="s">
        <v>98</v>
      </c>
      <c r="I15">
        <f>IFERROR(GETPIVOTDATA("Full Name",$H$3,"Age range","46-55"),"0")</f>
        <v>7</v>
      </c>
      <c r="Q15" s="6" t="s">
        <v>80</v>
      </c>
      <c r="R15">
        <f>IFERROR(GETPIVOTDATA("Full Name",$Q$3,"Region","South"),"0")</f>
        <v>10</v>
      </c>
      <c r="T15" s="6" t="s">
        <v>56</v>
      </c>
      <c r="U15">
        <f>IFERROR(GETPIVOTDATA("Full Name",$T$3,"Skills","Management"),"0")</f>
        <v>11</v>
      </c>
      <c r="W15" s="6" t="s">
        <v>72</v>
      </c>
      <c r="X15">
        <f>IFERROR(GETPIVOTDATA("Salary",$E$3,"Job Title","Developer"),"0")</f>
        <v>633594</v>
      </c>
      <c r="Y15">
        <f>IFERROR(GETPIVOTDATA("Sum of Leave Taken",$W$4,"Job Title","Developer"),"0")</f>
        <v>104</v>
      </c>
      <c r="AA15" s="6" t="s">
        <v>41</v>
      </c>
      <c r="AB15" s="14">
        <f>IFERROR(GETPIVOTDATA("Performance Rating",$AA$5,"Department","HR"),"0")</f>
        <v>3.3</v>
      </c>
    </row>
    <row r="16" spans="2:28">
      <c r="E16" s="6" t="s">
        <v>220</v>
      </c>
      <c r="F16">
        <f>SUM(F11:F15)</f>
        <v>3104913</v>
      </c>
      <c r="H16" s="6" t="s">
        <v>68</v>
      </c>
      <c r="I16">
        <f>IFERROR(GETPIVOTDATA("Full Name",$H$3,"Age range","56 &lt;"),"0")</f>
        <v>9</v>
      </c>
      <c r="Q16" s="6" t="s">
        <v>49</v>
      </c>
      <c r="R16">
        <f>IFERROR(GETPIVOTDATA("Full Name",$Q$3,"Region","West"),"0")</f>
        <v>9</v>
      </c>
      <c r="T16" s="6" t="s">
        <v>66</v>
      </c>
      <c r="U16">
        <f>IFERROR(GETPIVOTDATA("Full Name",$T$3,"Skills","Python"),"0")</f>
        <v>9</v>
      </c>
      <c r="W16" s="6" t="s">
        <v>50</v>
      </c>
      <c r="X16">
        <f>IFERROR(GETPIVOTDATA("Salary",$E$3,"Job Title","HR Specialist"),"0")</f>
        <v>959266</v>
      </c>
      <c r="Y16">
        <f>IFERROR(GETPIVOTDATA("Sum of Leave Taken",$W$4,"Job Title","HR Specialist"),"0")</f>
        <v>123</v>
      </c>
      <c r="AA16" s="6" t="s">
        <v>81</v>
      </c>
      <c r="AB16" s="14">
        <f>IFERROR(GETPIVOTDATA("Performance Rating",$AA$5,"Department","IT"),"0")</f>
        <v>2.25</v>
      </c>
    </row>
    <row r="17" spans="8:28">
      <c r="H17" s="6" t="s">
        <v>224</v>
      </c>
      <c r="I17">
        <f>SUM(I12:I16)</f>
        <v>50</v>
      </c>
      <c r="T17" s="6" t="s">
        <v>230</v>
      </c>
      <c r="U17">
        <f>SUM(U12:U16)</f>
        <v>50</v>
      </c>
      <c r="W17" s="6" t="s">
        <v>25</v>
      </c>
      <c r="X17">
        <f>IFERROR(GETPIVOTDATA("Salary",$E$3,"Job Title","Manager"),"0")</f>
        <v>731170</v>
      </c>
      <c r="Y17">
        <f>IFERROR(GETPIVOTDATA("Sum of Leave Taken",$W$4,"Job Title","Manager"),"0")</f>
        <v>122</v>
      </c>
      <c r="AA17" s="6" t="s">
        <v>51</v>
      </c>
      <c r="AB17" s="14">
        <f>IFERROR(GETPIVOTDATA("Performance Rating",$AA$5,"Department","Marketing"),"0")</f>
        <v>2.3636363636363638</v>
      </c>
    </row>
    <row r="18" spans="8:28">
      <c r="W18" s="6" t="s">
        <v>220</v>
      </c>
      <c r="X18">
        <f>SUM(X13:X17)</f>
        <v>3104913</v>
      </c>
      <c r="Y18">
        <f>SUM(Y13:Y17)</f>
        <v>487</v>
      </c>
      <c r="AA18" s="6" t="s">
        <v>60</v>
      </c>
      <c r="AB18" s="14">
        <f>IFERROR(GETPIVOTDATA("Performance Rating",$AA$5,"Department","Operations"),"0")</f>
        <v>2.5555555555555554</v>
      </c>
    </row>
    <row r="19" spans="8:28">
      <c r="H19" t="s">
        <v>226</v>
      </c>
      <c r="I19">
        <f>IFERROR(GETPIVOTDATA("Full Name",$H$3,"Gender","Female"),"0")</f>
        <v>26</v>
      </c>
      <c r="J19" s="9">
        <f t="shared" ref="J19:J20" si="2">SUM(I19)/SUM($I$19:$I$20)</f>
        <v>0.52</v>
      </c>
      <c r="K19" s="10">
        <f>1-J19</f>
        <v>0.48</v>
      </c>
      <c r="AA19" s="6" t="s">
        <v>224</v>
      </c>
      <c r="AB19" s="15">
        <f>AVERAGE(AB14:AB18)</f>
        <v>2.6105050505050502</v>
      </c>
    </row>
    <row r="20" spans="8:28">
      <c r="H20" s="6" t="s">
        <v>225</v>
      </c>
      <c r="I20">
        <f>IFERROR(GETPIVOTDATA("Full Name",$H$3,"Gender","Male"),"0")</f>
        <v>24</v>
      </c>
      <c r="J20" s="9">
        <f t="shared" si="2"/>
        <v>0.48</v>
      </c>
      <c r="K20" s="10">
        <f>1-J20</f>
        <v>0.52</v>
      </c>
    </row>
  </sheetData>
  <mergeCells count="8">
    <mergeCell ref="T2:U2"/>
    <mergeCell ref="W3:Y3"/>
    <mergeCell ref="Q2:R2"/>
    <mergeCell ref="AA4:AB4"/>
    <mergeCell ref="B2:C2"/>
    <mergeCell ref="E2:F2"/>
    <mergeCell ref="H2:K2"/>
    <mergeCell ref="M3:N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Dashbord</vt:lpstr>
      <vt:lpstr>pivot table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Mahmoud Yasser</dc:creator>
  <cp:lastModifiedBy>يوسف سعيد محمد محمد ابو سيف ( 324243233 )</cp:lastModifiedBy>
  <dcterms:created xsi:type="dcterms:W3CDTF">2024-12-11T17:14:33Z</dcterms:created>
  <dcterms:modified xsi:type="dcterms:W3CDTF">2026-05-05T13:18:12Z</dcterms:modified>
</cp:coreProperties>
</file>